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g Marks" sheetId="1" state="visible" r:id="rId3"/>
    <sheet name="Mug Log" sheetId="2" state="visible" r:id="rId4"/>
    <sheet name="Settings" sheetId="3" state="visible" r:id="rId5"/>
    <sheet name="Hunting Guide" sheetId="4" state="visible" r:id="rId6"/>
  </sheets>
  <definedNames>
    <definedName function="false" hidden="true" localSheetId="1" name="_xlnm._FilterDatabase" vbProcedure="false">'Mug Log'!$A$4:$G$1004</definedName>
    <definedName function="false" hidden="true" localSheetId="0" name="_xlnm._FilterDatabase" vbProcedure="false">'Mug Marks'!$A$4:$U$204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Blank = auto. Enter a number to override.</t>
        </r>
      </text>
    </comment>
    <comment ref="B7" authorId="0">
      <text>
        <r>
          <rPr>
            <sz val="10"/>
            <rFont val="Arial"/>
            <family val="2"/>
          </rPr>
          <t xml:space="preserve">Source: MuggingMarks.txt ('Never mug the same target more than once every 15 hours'). Not confirmed against Torn mechanics or API docs.</t>
        </r>
      </text>
    </comment>
  </commentList>
</comments>
</file>

<file path=xl/sharedStrings.xml><?xml version="1.0" encoding="utf-8"?>
<sst xmlns="http://schemas.openxmlformats.org/spreadsheetml/2006/main" count="99" uniqueCount="96">
  <si>
    <t xml:space="preserve">Mug Marks - Target Tracker</t>
  </si>
  <si>
    <t xml:space="preserve">Type only in blue columns (A-I, U). Everything else is automatic from the Mug Log. Times are TCT unless labelled Local.</t>
  </si>
  <si>
    <t xml:space="preserve">Target Name</t>
  </si>
  <si>
    <t xml:space="preserve">Torn ID</t>
  </si>
  <si>
    <t xml:space="preserve">Level</t>
  </si>
  <si>
    <t xml:space="preserve">Est. Total Stats</t>
  </si>
  <si>
    <t xml:space="preserve">Job</t>
  </si>
  <si>
    <t xml:space="preserve">Property</t>
  </si>
  <si>
    <t xml:space="preserve">Net Worth ($)</t>
  </si>
  <si>
    <t xml:space="preserve">Pipeline</t>
  </si>
  <si>
    <t xml:space="preserve">Days Inactive</t>
  </si>
  <si>
    <t xml:space="preserve">Profile</t>
  </si>
  <si>
    <t xml:space="preserve">Attack</t>
  </si>
  <si>
    <t xml:space="preserve">Last Mug (TCT)</t>
  </si>
  <si>
    <t xml:space="preserve">Last Yield ($)</t>
  </si>
  <si>
    <t xml:space="preserve">Next Available (TCT)</t>
  </si>
  <si>
    <t xml:space="preserve">Next Available (Local)</t>
  </si>
  <si>
    <t xml:space="preserve">Status</t>
  </si>
  <si>
    <t xml:space="preserve">Ready In (h:mm)</t>
  </si>
  <si>
    <t xml:space="preserve">Hits</t>
  </si>
  <si>
    <t xml:space="preserve">Lifetime Yield ($)</t>
  </si>
  <si>
    <t xml:space="preserve">Avg Yield ($)</t>
  </si>
  <si>
    <t xml:space="preserve">Notes</t>
  </si>
  <si>
    <t xml:space="preserve">EXAMPLE Target (delete)</t>
  </si>
  <si>
    <t xml:space="preserve">Brain Surgeon</t>
  </si>
  <si>
    <t xml:space="preserve">Private Island</t>
  </si>
  <si>
    <t xml:space="preserve">HoF Inactive</t>
  </si>
  <si>
    <t xml:space="preserve">Inactive 4 days. Easy 2-hit kill. No mask worn.</t>
  </si>
  <si>
    <t xml:space="preserve">Mug Log</t>
  </si>
  <si>
    <t xml:space="preserve">One row per attack. Enter time in TCT (copy from Torn attack log). Name fills in automatically if the Torn ID exists on 'Mug Marks'.</t>
  </si>
  <si>
    <t xml:space="preserve">Time (TCT)</t>
  </si>
  <si>
    <t xml:space="preserve">Target Torn ID</t>
  </si>
  <si>
    <t xml:space="preserve">Cash Yield ($)</t>
  </si>
  <si>
    <t xml:space="preserve">Outcome</t>
  </si>
  <si>
    <t xml:space="preserve">Time (Local)</t>
  </si>
  <si>
    <t xml:space="preserve">Success</t>
  </si>
  <si>
    <t xml:space="preserve">EXAMPLE row (delete) - from your template</t>
  </si>
  <si>
    <t xml:space="preserve">Settings &amp; Summary</t>
  </si>
  <si>
    <t xml:space="preserve">Yellow cells are yours to edit. All times in the log are Torn City Time (TCT = UTC).</t>
  </si>
  <si>
    <t xml:space="preserve">Local UTC offset override (hrs)</t>
  </si>
  <si>
    <t xml:space="preserve">Leave blank to auto-detect. Use e.g. -8 for Pacific Standard, 0 for UTC.</t>
  </si>
  <si>
    <t xml:space="preserve">Auto-detected offset (US Pacific)</t>
  </si>
  <si>
    <t xml:space="preserve">-7 during US daylight time (2nd Sun Mar - 1st Sun Nov), else -8. Pacific only.</t>
  </si>
  <si>
    <t xml:space="preserve">Effective local offset (hrs)</t>
  </si>
  <si>
    <t xml:space="preserve">What the sheet actually uses.</t>
  </si>
  <si>
    <t xml:space="preserve">Mug cooldown (hours)</t>
  </si>
  <si>
    <t xml:space="preserve">ASSUMPTION from your MuggingMarks.txt notes (unverified). Change here if you confirm a different value.</t>
  </si>
  <si>
    <t xml:space="preserve">Current TCT</t>
  </si>
  <si>
    <t xml:space="preserve">Assumes your computer clock is on your local time zone.</t>
  </si>
  <si>
    <t xml:space="preserve">Current local time</t>
  </si>
  <si>
    <t xml:space="preserve">Summary</t>
  </si>
  <si>
    <t xml:space="preserve">Targets tracked</t>
  </si>
  <si>
    <t xml:space="preserve">READY now</t>
  </si>
  <si>
    <t xml:space="preserve">On cooldown</t>
  </si>
  <si>
    <t xml:space="preserve">Never hit</t>
  </si>
  <si>
    <t xml:space="preserve">Total logged attempts</t>
  </si>
  <si>
    <t xml:space="preserve">Total cash yield ($)</t>
  </si>
  <si>
    <t xml:space="preserve">Average yield per attempt ($)</t>
  </si>
  <si>
    <t xml:space="preserve">Yield, last 24h TCT ($)</t>
  </si>
  <si>
    <t xml:space="preserve">Legend</t>
  </si>
  <si>
    <t xml:space="preserve">Blue text = input you type. Black text = formula (don't overwrite).</t>
  </si>
  <si>
    <t xml:space="preserve">Workflow: add a target on 'Mug Marks' (name + Torn ID), then log each attack on 'Mug Log'.</t>
  </si>
  <si>
    <t xml:space="preserve">Last Mug, Next Available, Status, Hits and Yield on 'Mug Marks' fill in automatically from the log.</t>
  </si>
  <si>
    <t xml:space="preserve">Rows marked EXAMPLE are placeholders - delete their contents when you start.</t>
  </si>
  <si>
    <t xml:space="preserve">Hunting Guide (condensed from MuggingMarks.txt)</t>
  </si>
  <si>
    <t xml:space="preserve">How it works</t>
  </si>
  <si>
    <t xml:space="preserve">What to look for</t>
  </si>
  <si>
    <t xml:space="preserve">Trade-off / risk</t>
  </si>
  <si>
    <t xml:space="preserve">Confidence in source</t>
  </si>
  <si>
    <t xml:space="preserve">Buy-Mug (Pipeline 1)</t>
  </si>
  <si>
    <t xml:space="preserve">Buy a large stack of a liquid item from a seller, then attack immediately; your cash is now in their wallet.</t>
  </si>
  <si>
    <t xml:space="preserve">Xanax, Donator Packs, FHCs priced slightly below market.</t>
  </si>
  <si>
    <t xml:space="preserve">Victims may blacklist/enemy you or hire bounties. You also need the cash up front.</t>
  </si>
  <si>
    <t xml:space="preserve">Forum/anecdotal - unverified</t>
  </si>
  <si>
    <t xml:space="preserve">Casino Winner (Pipeline 1)</t>
  </si>
  <si>
    <t xml:space="preserve">Watch high-stakes Russian Roulette / poker; hit the winner right after a big payout.</t>
  </si>
  <si>
    <t xml:space="preserve">Fresh large wallet after a finished game.</t>
  </si>
  <si>
    <t xml:space="preserve">Timing is tight; winners may bank quickly.</t>
  </si>
  <si>
    <t xml:space="preserve">Anecdotal - unverified</t>
  </si>
  <si>
    <t xml:space="preserve">HoF Inactive (Pipeline 2)</t>
  </si>
  <si>
    <t xml:space="preserve">Filter the Networth Hall of Fame for high net worth, recently inactive players near your level.</t>
  </si>
  <si>
    <t xml:space="preserve">Net worth &gt;$5B, inactive ~2-12 days (per source), high-income job (e.g. Brain Surgeon), high-tier property.</t>
  </si>
  <si>
    <t xml:space="preserve">Net worth is not cash on hand - much may be in assets. Verify wallet where possible.</t>
  </si>
  <si>
    <t xml:space="preserve">Reddit-sourced - unverified</t>
  </si>
  <si>
    <t xml:space="preserve">Overseas - Cayman / Switzerland (Pipeline 3)</t>
  </si>
  <si>
    <t xml:space="preserve">Fly in, check the local player list, hit targets as they land.</t>
  </si>
  <si>
    <t xml:space="preserve">Players carrying cash to bank (Cayman) or pay for treatment (Switzerland).</t>
  </si>
  <si>
    <t xml:space="preserve">Travel time and flight costs; targets may spend before you land.</t>
  </si>
  <si>
    <t xml:space="preserve">Facebook-group advice - unverified</t>
  </si>
  <si>
    <t xml:space="preserve">Caveats on the source notes</t>
  </si>
  <si>
    <t xml:space="preserve">1. The 15-hour mug cooldown is treated as an assumption (Settings!B7). It is not confirmed by any Torn API/official reference provided - verify in-game before relying on it.</t>
  </si>
  <si>
    <t xml:space="preserve">2. The source's HYPERLINK formula used "https://torn.com"&amp;ID, which is not a valid profile URL. This workbook uses profiles.php?XID= and loader.php?sid=attack&amp;user2ID= instead.</t>
  </si>
  <si>
    <t xml:space="preserve">3. The source's one-cell DST formula is hard to maintain. This workbook uses a visible offset on Settings with an optional manual override.</t>
  </si>
  <si>
    <t xml:space="preserve">4. 'Green or blue circle' as an activity signal is unverified; check the target's actual online/idle/offline indicator and last-action time.</t>
  </si>
  <si>
    <t xml:space="preserve">5. Net worth and job income are indicators only - the wallet amount is what you actually get to mug.</t>
  </si>
  <si>
    <t xml:space="preserve">6. Torn City Time is UTC. The sheet assumes your computer's clock is on your local zone for 'Current TCT'.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</si>
</sst>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;&quot;($&quot;#,##0\);\-"/>
    <numFmt numFmtId="167" formatCode="yyyy\-mm\-dd\ hh:mm"/>
    <numFmt numFmtId="168" formatCode="[h]:mm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11" min="9" style="0" width="9"/>
    <col collapsed="false" customWidth="true" hidden="false" outlineLevel="0" max="12" min="12" style="0" width="17"/>
    <col collapsed="false" customWidth="true" hidden="false" outlineLevel="0" max="13" min="13" style="0" width="13"/>
    <col collapsed="false" customWidth="true" hidden="false" outlineLevel="0" max="15" min="14" style="0" width="17"/>
    <col collapsed="false" customWidth="true" hidden="false" outlineLevel="0" max="17" min="16" style="0" width="11"/>
    <col collapsed="false" customWidth="true" hidden="false" outlineLevel="0" max="18" min="18" style="0" width="7"/>
    <col collapsed="false" customWidth="true" hidden="false" outlineLevel="0" max="19" min="19" style="0" width="15"/>
    <col collapsed="false" customWidth="true" hidden="false" outlineLevel="0" max="20" min="20" style="0" width="13"/>
    <col collapsed="false" customWidth="true" hidden="false" outlineLevel="0" max="21" min="21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s">
        <v>23</v>
      </c>
      <c r="B5" s="5" t="n">
        <v>123456</v>
      </c>
      <c r="C5" s="4" t="n">
        <v>45</v>
      </c>
      <c r="D5" s="6" t="n">
        <v>500000</v>
      </c>
      <c r="E5" s="4" t="s">
        <v>24</v>
      </c>
      <c r="F5" s="4" t="s">
        <v>25</v>
      </c>
      <c r="G5" s="6" t="n">
        <v>6000000000</v>
      </c>
      <c r="H5" s="4" t="s">
        <v>26</v>
      </c>
      <c r="I5" s="4" t="n">
        <v>4</v>
      </c>
      <c r="J5" s="7" t="str">
        <f aca="false">IF(B5="","",HYPERLINK("https://www.torn.com/profiles.php?XID="&amp;B5,"Profile"))</f>
        <v>Profile</v>
      </c>
      <c r="K5" s="7" t="str">
        <f aca="false">IF(B5="","",HYPERLINK("https://www.torn.com/loader.php?sid=attack&amp;user2ID="&amp;B5,"Attack"))</f>
        <v>Attack</v>
      </c>
      <c r="L5" s="8" t="n">
        <f aca="false">IF(B5="","",IF(COUNTIF('Mug Log'!$B$5:$B$1004,B5)=0,"",_xlfn.MAXIFS('Mug Log'!$A$5:$A$1004,'Mug Log'!$B$5:$B$1004,B5)))</f>
        <v>46305.6458333333</v>
      </c>
      <c r="M5" s="9" t="n">
        <f aca="false">IF(L5="","",SUMIFS('Mug Log'!$D$5:$D$1004,'Mug Log'!$B$5:$B$1004,B5,'Mug Log'!$A$5:$A$1004,L5))</f>
        <v>2400000</v>
      </c>
      <c r="N5" s="8" t="n">
        <f aca="false">IF(L5="","",L5+Settings!$B$7/24)</f>
        <v>46306.2708333333</v>
      </c>
      <c r="O5" s="8" t="n">
        <f aca="false">IF(N5="","",N5+Settings!$B$6/24)</f>
        <v>46305.9791666667</v>
      </c>
      <c r="P5" s="10" t="str">
        <f aca="false">IF(B5="","",IF(L5="","Never hit",IF(N5&lt;=Settings!$B$8,"READY","Cooldown")))</f>
        <v>Cooldown</v>
      </c>
      <c r="Q5" s="11" t="n">
        <f aca="false">IF(P5="Cooldown",N5-Settings!$B$8,"")</f>
        <v>0.0095575947337963</v>
      </c>
      <c r="R5" s="12" t="n">
        <f aca="false">IF(B5="","",COUNTIF('Mug Log'!$B$5:$B$1004,B5))</f>
        <v>1</v>
      </c>
      <c r="S5" s="9" t="n">
        <f aca="false">IF(B5="","",SUMIFS('Mug Log'!$D$5:$D$1004,'Mug Log'!$B$5:$B$1004,B5))</f>
        <v>2400000</v>
      </c>
      <c r="T5" s="9" t="n">
        <f aca="false">IF(OR(B5="",R5=0),"",S5/R5)</f>
        <v>2400000</v>
      </c>
      <c r="U5" s="4" t="s">
        <v>27</v>
      </c>
    </row>
    <row r="6" customFormat="false" ht="15" hidden="false" customHeight="false" outlineLevel="0" collapsed="false">
      <c r="A6" s="4"/>
      <c r="B6" s="5"/>
      <c r="C6" s="4"/>
      <c r="D6" s="6"/>
      <c r="E6" s="4"/>
      <c r="F6" s="4"/>
      <c r="G6" s="6"/>
      <c r="H6" s="4"/>
      <c r="I6" s="4"/>
      <c r="J6" s="7" t="str">
        <f aca="false">IF(B6="","",HYPERLINK("https://www.torn.com/profiles.php?XID="&amp;B6,"Profile"))</f>
        <v/>
      </c>
      <c r="K6" s="7" t="str">
        <f aca="false">IF(B6="","",HYPERLINK("https://www.torn.com/loader.php?sid=attack&amp;user2ID="&amp;B6,"Attack"))</f>
        <v/>
      </c>
      <c r="L6" s="8" t="str">
        <f aca="false">IF(B6="","",IF(COUNTIF('Mug Log'!$B$5:$B$1004,B6)=0,"",_xlfn.MAXIFS('Mug Log'!$A$5:$A$1004,'Mug Log'!$B$5:$B$1004,B6)))</f>
        <v/>
      </c>
      <c r="M6" s="9" t="str">
        <f aca="false">IF(L6="","",SUMIFS('Mug Log'!$D$5:$D$1004,'Mug Log'!$B$5:$B$1004,B6,'Mug Log'!$A$5:$A$1004,L6))</f>
        <v/>
      </c>
      <c r="N6" s="8" t="str">
        <f aca="false">IF(L6="","",L6+Settings!$B$7/24)</f>
        <v/>
      </c>
      <c r="O6" s="8" t="str">
        <f aca="false">IF(N6="","",N6+Settings!$B$6/24)</f>
        <v/>
      </c>
      <c r="P6" s="10" t="str">
        <f aca="false">IF(B6="","",IF(L6="","Never hit",IF(N6&lt;=Settings!$B$8,"READY","Cooldown")))</f>
        <v/>
      </c>
      <c r="Q6" s="11" t="str">
        <f aca="false">IF(P6="Cooldown",N6-Settings!$B$8,"")</f>
        <v/>
      </c>
      <c r="R6" s="12" t="str">
        <f aca="false">IF(B6="","",COUNTIF('Mug Log'!$B$5:$B$1004,B6))</f>
        <v/>
      </c>
      <c r="S6" s="9" t="str">
        <f aca="false">IF(B6="","",SUMIFS('Mug Log'!$D$5:$D$1004,'Mug Log'!$B$5:$B$1004,B6))</f>
        <v/>
      </c>
      <c r="T6" s="9" t="str">
        <f aca="false">IF(OR(B6="",R6=0),"",S6/R6)</f>
        <v/>
      </c>
      <c r="U6" s="4"/>
    </row>
    <row r="7" customFormat="false" ht="15" hidden="false" customHeight="false" outlineLevel="0" collapsed="false">
      <c r="A7" s="4"/>
      <c r="B7" s="5"/>
      <c r="C7" s="4"/>
      <c r="D7" s="6"/>
      <c r="E7" s="4"/>
      <c r="F7" s="4"/>
      <c r="G7" s="6"/>
      <c r="H7" s="4"/>
      <c r="I7" s="4"/>
      <c r="J7" s="7" t="str">
        <f aca="false">IF(B7="","",HYPERLINK("https://www.torn.com/profiles.php?XID="&amp;B7,"Profile"))</f>
        <v/>
      </c>
      <c r="K7" s="7" t="str">
        <f aca="false">IF(B7="","",HYPERLINK("https://www.torn.com/loader.php?sid=attack&amp;user2ID="&amp;B7,"Attack"))</f>
        <v/>
      </c>
      <c r="L7" s="8" t="str">
        <f aca="false">IF(B7="","",IF(COUNTIF('Mug Log'!$B$5:$B$1004,B7)=0,"",_xlfn.MAXIFS('Mug Log'!$A$5:$A$1004,'Mug Log'!$B$5:$B$1004,B7)))</f>
        <v/>
      </c>
      <c r="M7" s="9" t="str">
        <f aca="false">IF(L7="","",SUMIFS('Mug Log'!$D$5:$D$1004,'Mug Log'!$B$5:$B$1004,B7,'Mug Log'!$A$5:$A$1004,L7))</f>
        <v/>
      </c>
      <c r="N7" s="8" t="str">
        <f aca="false">IF(L7="","",L7+Settings!$B$7/24)</f>
        <v/>
      </c>
      <c r="O7" s="8" t="str">
        <f aca="false">IF(N7="","",N7+Settings!$B$6/24)</f>
        <v/>
      </c>
      <c r="P7" s="10" t="str">
        <f aca="false">IF(B7="","",IF(L7="","Never hit",IF(N7&lt;=Settings!$B$8,"READY","Cooldown")))</f>
        <v/>
      </c>
      <c r="Q7" s="11" t="str">
        <f aca="false">IF(P7="Cooldown",N7-Settings!$B$8,"")</f>
        <v/>
      </c>
      <c r="R7" s="12" t="str">
        <f aca="false">IF(B7="","",COUNTIF('Mug Log'!$B$5:$B$1004,B7))</f>
        <v/>
      </c>
      <c r="S7" s="9" t="str">
        <f aca="false">IF(B7="","",SUMIFS('Mug Log'!$D$5:$D$1004,'Mug Log'!$B$5:$B$1004,B7))</f>
        <v/>
      </c>
      <c r="T7" s="9" t="str">
        <f aca="false">IF(OR(B7="",R7=0),"",S7/R7)</f>
        <v/>
      </c>
      <c r="U7" s="4"/>
    </row>
    <row r="8" customFormat="false" ht="15" hidden="false" customHeight="false" outlineLevel="0" collapsed="false">
      <c r="A8" s="4"/>
      <c r="B8" s="5"/>
      <c r="C8" s="4"/>
      <c r="D8" s="6"/>
      <c r="E8" s="4"/>
      <c r="F8" s="4"/>
      <c r="G8" s="6"/>
      <c r="H8" s="4"/>
      <c r="I8" s="4"/>
      <c r="J8" s="7" t="str">
        <f aca="false">IF(B8="","",HYPERLINK("https://www.torn.com/profiles.php?XID="&amp;B8,"Profile"))</f>
        <v/>
      </c>
      <c r="K8" s="7" t="str">
        <f aca="false">IF(B8="","",HYPERLINK("https://www.torn.com/loader.php?sid=attack&amp;user2ID="&amp;B8,"Attack"))</f>
        <v/>
      </c>
      <c r="L8" s="8" t="str">
        <f aca="false">IF(B8="","",IF(COUNTIF('Mug Log'!$B$5:$B$1004,B8)=0,"",_xlfn.MAXIFS('Mug Log'!$A$5:$A$1004,'Mug Log'!$B$5:$B$1004,B8)))</f>
        <v/>
      </c>
      <c r="M8" s="9" t="str">
        <f aca="false">IF(L8="","",SUMIFS('Mug Log'!$D$5:$D$1004,'Mug Log'!$B$5:$B$1004,B8,'Mug Log'!$A$5:$A$1004,L8))</f>
        <v/>
      </c>
      <c r="N8" s="8" t="str">
        <f aca="false">IF(L8="","",L8+Settings!$B$7/24)</f>
        <v/>
      </c>
      <c r="O8" s="8" t="str">
        <f aca="false">IF(N8="","",N8+Settings!$B$6/24)</f>
        <v/>
      </c>
      <c r="P8" s="10" t="str">
        <f aca="false">IF(B8="","",IF(L8="","Never hit",IF(N8&lt;=Settings!$B$8,"READY","Cooldown")))</f>
        <v/>
      </c>
      <c r="Q8" s="11" t="str">
        <f aca="false">IF(P8="Cooldown",N8-Settings!$B$8,"")</f>
        <v/>
      </c>
      <c r="R8" s="12" t="str">
        <f aca="false">IF(B8="","",COUNTIF('Mug Log'!$B$5:$B$1004,B8))</f>
        <v/>
      </c>
      <c r="S8" s="9" t="str">
        <f aca="false">IF(B8="","",SUMIFS('Mug Log'!$D$5:$D$1004,'Mug Log'!$B$5:$B$1004,B8))</f>
        <v/>
      </c>
      <c r="T8" s="9" t="str">
        <f aca="false">IF(OR(B8="",R8=0),"",S8/R8)</f>
        <v/>
      </c>
      <c r="U8" s="4"/>
    </row>
    <row r="9" customFormat="false" ht="15" hidden="false" customHeight="false" outlineLevel="0" collapsed="false">
      <c r="A9" s="4"/>
      <c r="B9" s="5"/>
      <c r="C9" s="4"/>
      <c r="D9" s="6"/>
      <c r="E9" s="4"/>
      <c r="F9" s="4"/>
      <c r="G9" s="6"/>
      <c r="H9" s="4"/>
      <c r="I9" s="4"/>
      <c r="J9" s="7" t="str">
        <f aca="false">IF(B9="","",HYPERLINK("https://www.torn.com/profiles.php?XID="&amp;B9,"Profile"))</f>
        <v/>
      </c>
      <c r="K9" s="7" t="str">
        <f aca="false">IF(B9="","",HYPERLINK("https://www.torn.com/loader.php?sid=attack&amp;user2ID="&amp;B9,"Attack"))</f>
        <v/>
      </c>
      <c r="L9" s="8" t="str">
        <f aca="false">IF(B9="","",IF(COUNTIF('Mug Log'!$B$5:$B$1004,B9)=0,"",_xlfn.MAXIFS('Mug Log'!$A$5:$A$1004,'Mug Log'!$B$5:$B$1004,B9)))</f>
        <v/>
      </c>
      <c r="M9" s="9" t="str">
        <f aca="false">IF(L9="","",SUMIFS('Mug Log'!$D$5:$D$1004,'Mug Log'!$B$5:$B$1004,B9,'Mug Log'!$A$5:$A$1004,L9))</f>
        <v/>
      </c>
      <c r="N9" s="8" t="str">
        <f aca="false">IF(L9="","",L9+Settings!$B$7/24)</f>
        <v/>
      </c>
      <c r="O9" s="8" t="str">
        <f aca="false">IF(N9="","",N9+Settings!$B$6/24)</f>
        <v/>
      </c>
      <c r="P9" s="10" t="str">
        <f aca="false">IF(B9="","",IF(L9="","Never hit",IF(N9&lt;=Settings!$B$8,"READY","Cooldown")))</f>
        <v/>
      </c>
      <c r="Q9" s="11" t="str">
        <f aca="false">IF(P9="Cooldown",N9-Settings!$B$8,"")</f>
        <v/>
      </c>
      <c r="R9" s="12" t="str">
        <f aca="false">IF(B9="","",COUNTIF('Mug Log'!$B$5:$B$1004,B9))</f>
        <v/>
      </c>
      <c r="S9" s="9" t="str">
        <f aca="false">IF(B9="","",SUMIFS('Mug Log'!$D$5:$D$1004,'Mug Log'!$B$5:$B$1004,B9))</f>
        <v/>
      </c>
      <c r="T9" s="9" t="str">
        <f aca="false">IF(OR(B9="",R9=0),"",S9/R9)</f>
        <v/>
      </c>
      <c r="U9" s="4"/>
    </row>
    <row r="10" customFormat="false" ht="15" hidden="false" customHeight="false" outlineLevel="0" collapsed="false">
      <c r="A10" s="4"/>
      <c r="B10" s="5"/>
      <c r="C10" s="4"/>
      <c r="D10" s="6"/>
      <c r="E10" s="4"/>
      <c r="F10" s="4"/>
      <c r="G10" s="6"/>
      <c r="H10" s="4"/>
      <c r="I10" s="4"/>
      <c r="J10" s="7" t="str">
        <f aca="false">IF(B10="","",HYPERLINK("https://www.torn.com/profiles.php?XID="&amp;B10,"Profile"))</f>
        <v/>
      </c>
      <c r="K10" s="7" t="str">
        <f aca="false">IF(B10="","",HYPERLINK("https://www.torn.com/loader.php?sid=attack&amp;user2ID="&amp;B10,"Attack"))</f>
        <v/>
      </c>
      <c r="L10" s="8" t="str">
        <f aca="false">IF(B10="","",IF(COUNTIF('Mug Log'!$B$5:$B$1004,B10)=0,"",_xlfn.MAXIFS('Mug Log'!$A$5:$A$1004,'Mug Log'!$B$5:$B$1004,B10)))</f>
        <v/>
      </c>
      <c r="M10" s="9" t="str">
        <f aca="false">IF(L10="","",SUMIFS('Mug Log'!$D$5:$D$1004,'Mug Log'!$B$5:$B$1004,B10,'Mug Log'!$A$5:$A$1004,L10))</f>
        <v/>
      </c>
      <c r="N10" s="8" t="str">
        <f aca="false">IF(L10="","",L10+Settings!$B$7/24)</f>
        <v/>
      </c>
      <c r="O10" s="8" t="str">
        <f aca="false">IF(N10="","",N10+Settings!$B$6/24)</f>
        <v/>
      </c>
      <c r="P10" s="10" t="str">
        <f aca="false">IF(B10="","",IF(L10="","Never hit",IF(N10&lt;=Settings!$B$8,"READY","Cooldown")))</f>
        <v/>
      </c>
      <c r="Q10" s="11" t="str">
        <f aca="false">IF(P10="Cooldown",N10-Settings!$B$8,"")</f>
        <v/>
      </c>
      <c r="R10" s="12" t="str">
        <f aca="false">IF(B10="","",COUNTIF('Mug Log'!$B$5:$B$1004,B10))</f>
        <v/>
      </c>
      <c r="S10" s="9" t="str">
        <f aca="false">IF(B10="","",SUMIFS('Mug Log'!$D$5:$D$1004,'Mug Log'!$B$5:$B$1004,B10))</f>
        <v/>
      </c>
      <c r="T10" s="9" t="str">
        <f aca="false">IF(OR(B10="",R10=0),"",S10/R10)</f>
        <v/>
      </c>
      <c r="U10" s="4"/>
    </row>
    <row r="11" customFormat="false" ht="15" hidden="false" customHeight="false" outlineLevel="0" collapsed="false">
      <c r="A11" s="4"/>
      <c r="B11" s="5"/>
      <c r="C11" s="4"/>
      <c r="D11" s="6"/>
      <c r="E11" s="4"/>
      <c r="F11" s="4"/>
      <c r="G11" s="6"/>
      <c r="H11" s="4"/>
      <c r="I11" s="4"/>
      <c r="J11" s="7" t="str">
        <f aca="false">IF(B11="","",HYPERLINK("https://www.torn.com/profiles.php?XID="&amp;B11,"Profile"))</f>
        <v/>
      </c>
      <c r="K11" s="7" t="str">
        <f aca="false">IF(B11="","",HYPERLINK("https://www.torn.com/loader.php?sid=attack&amp;user2ID="&amp;B11,"Attack"))</f>
        <v/>
      </c>
      <c r="L11" s="8" t="str">
        <f aca="false">IF(B11="","",IF(COUNTIF('Mug Log'!$B$5:$B$1004,B11)=0,"",_xlfn.MAXIFS('Mug Log'!$A$5:$A$1004,'Mug Log'!$B$5:$B$1004,B11)))</f>
        <v/>
      </c>
      <c r="M11" s="9" t="str">
        <f aca="false">IF(L11="","",SUMIFS('Mug Log'!$D$5:$D$1004,'Mug Log'!$B$5:$B$1004,B11,'Mug Log'!$A$5:$A$1004,L11))</f>
        <v/>
      </c>
      <c r="N11" s="8" t="str">
        <f aca="false">IF(L11="","",L11+Settings!$B$7/24)</f>
        <v/>
      </c>
      <c r="O11" s="8" t="str">
        <f aca="false">IF(N11="","",N11+Settings!$B$6/24)</f>
        <v/>
      </c>
      <c r="P11" s="10" t="str">
        <f aca="false">IF(B11="","",IF(L11="","Never hit",IF(N11&lt;=Settings!$B$8,"READY","Cooldown")))</f>
        <v/>
      </c>
      <c r="Q11" s="11" t="str">
        <f aca="false">IF(P11="Cooldown",N11-Settings!$B$8,"")</f>
        <v/>
      </c>
      <c r="R11" s="12" t="str">
        <f aca="false">IF(B11="","",COUNTIF('Mug Log'!$B$5:$B$1004,B11))</f>
        <v/>
      </c>
      <c r="S11" s="9" t="str">
        <f aca="false">IF(B11="","",SUMIFS('Mug Log'!$D$5:$D$1004,'Mug Log'!$B$5:$B$1004,B11))</f>
        <v/>
      </c>
      <c r="T11" s="9" t="str">
        <f aca="false">IF(OR(B11="",R11=0),"",S11/R11)</f>
        <v/>
      </c>
      <c r="U11" s="4"/>
    </row>
    <row r="12" customFormat="false" ht="15" hidden="false" customHeight="false" outlineLevel="0" collapsed="false">
      <c r="A12" s="4"/>
      <c r="B12" s="5"/>
      <c r="C12" s="4"/>
      <c r="D12" s="6"/>
      <c r="E12" s="4"/>
      <c r="F12" s="4"/>
      <c r="G12" s="6"/>
      <c r="H12" s="4"/>
      <c r="I12" s="4"/>
      <c r="J12" s="7" t="str">
        <f aca="false">IF(B12="","",HYPERLINK("https://www.torn.com/profiles.php?XID="&amp;B12,"Profile"))</f>
        <v/>
      </c>
      <c r="K12" s="7" t="str">
        <f aca="false">IF(B12="","",HYPERLINK("https://www.torn.com/loader.php?sid=attack&amp;user2ID="&amp;B12,"Attack"))</f>
        <v/>
      </c>
      <c r="L12" s="8" t="str">
        <f aca="false">IF(B12="","",IF(COUNTIF('Mug Log'!$B$5:$B$1004,B12)=0,"",_xlfn.MAXIFS('Mug Log'!$A$5:$A$1004,'Mug Log'!$B$5:$B$1004,B12)))</f>
        <v/>
      </c>
      <c r="M12" s="9" t="str">
        <f aca="false">IF(L12="","",SUMIFS('Mug Log'!$D$5:$D$1004,'Mug Log'!$B$5:$B$1004,B12,'Mug Log'!$A$5:$A$1004,L12))</f>
        <v/>
      </c>
      <c r="N12" s="8" t="str">
        <f aca="false">IF(L12="","",L12+Settings!$B$7/24)</f>
        <v/>
      </c>
      <c r="O12" s="8" t="str">
        <f aca="false">IF(N12="","",N12+Settings!$B$6/24)</f>
        <v/>
      </c>
      <c r="P12" s="10" t="str">
        <f aca="false">IF(B12="","",IF(L12="","Never hit",IF(N12&lt;=Settings!$B$8,"READY","Cooldown")))</f>
        <v/>
      </c>
      <c r="Q12" s="11" t="str">
        <f aca="false">IF(P12="Cooldown",N12-Settings!$B$8,"")</f>
        <v/>
      </c>
      <c r="R12" s="12" t="str">
        <f aca="false">IF(B12="","",COUNTIF('Mug Log'!$B$5:$B$1004,B12))</f>
        <v/>
      </c>
      <c r="S12" s="9" t="str">
        <f aca="false">IF(B12="","",SUMIFS('Mug Log'!$D$5:$D$1004,'Mug Log'!$B$5:$B$1004,B12))</f>
        <v/>
      </c>
      <c r="T12" s="9" t="str">
        <f aca="false">IF(OR(B12="",R12=0),"",S12/R12)</f>
        <v/>
      </c>
      <c r="U12" s="4"/>
    </row>
    <row r="13" customFormat="false" ht="15" hidden="false" customHeight="false" outlineLevel="0" collapsed="false">
      <c r="A13" s="4"/>
      <c r="B13" s="5"/>
      <c r="C13" s="4"/>
      <c r="D13" s="6"/>
      <c r="E13" s="4"/>
      <c r="F13" s="4"/>
      <c r="G13" s="6"/>
      <c r="H13" s="4"/>
      <c r="I13" s="4"/>
      <c r="J13" s="7" t="str">
        <f aca="false">IF(B13="","",HYPERLINK("https://www.torn.com/profiles.php?XID="&amp;B13,"Profile"))</f>
        <v/>
      </c>
      <c r="K13" s="7" t="str">
        <f aca="false">IF(B13="","",HYPERLINK("https://www.torn.com/loader.php?sid=attack&amp;user2ID="&amp;B13,"Attack"))</f>
        <v/>
      </c>
      <c r="L13" s="8" t="str">
        <f aca="false">IF(B13="","",IF(COUNTIF('Mug Log'!$B$5:$B$1004,B13)=0,"",_xlfn.MAXIFS('Mug Log'!$A$5:$A$1004,'Mug Log'!$B$5:$B$1004,B13)))</f>
        <v/>
      </c>
      <c r="M13" s="9" t="str">
        <f aca="false">IF(L13="","",SUMIFS('Mug Log'!$D$5:$D$1004,'Mug Log'!$B$5:$B$1004,B13,'Mug Log'!$A$5:$A$1004,L13))</f>
        <v/>
      </c>
      <c r="N13" s="8" t="str">
        <f aca="false">IF(L13="","",L13+Settings!$B$7/24)</f>
        <v/>
      </c>
      <c r="O13" s="8" t="str">
        <f aca="false">IF(N13="","",N13+Settings!$B$6/24)</f>
        <v/>
      </c>
      <c r="P13" s="10" t="str">
        <f aca="false">IF(B13="","",IF(L13="","Never hit",IF(N13&lt;=Settings!$B$8,"READY","Cooldown")))</f>
        <v/>
      </c>
      <c r="Q13" s="11" t="str">
        <f aca="false">IF(P13="Cooldown",N13-Settings!$B$8,"")</f>
        <v/>
      </c>
      <c r="R13" s="12" t="str">
        <f aca="false">IF(B13="","",COUNTIF('Mug Log'!$B$5:$B$1004,B13))</f>
        <v/>
      </c>
      <c r="S13" s="9" t="str">
        <f aca="false">IF(B13="","",SUMIFS('Mug Log'!$D$5:$D$1004,'Mug Log'!$B$5:$B$1004,B13))</f>
        <v/>
      </c>
      <c r="T13" s="9" t="str">
        <f aca="false">IF(OR(B13="",R13=0),"",S13/R13)</f>
        <v/>
      </c>
      <c r="U13" s="4"/>
    </row>
    <row r="14" customFormat="false" ht="15" hidden="false" customHeight="false" outlineLevel="0" collapsed="false">
      <c r="A14" s="4"/>
      <c r="B14" s="5"/>
      <c r="C14" s="4"/>
      <c r="D14" s="6"/>
      <c r="E14" s="4"/>
      <c r="F14" s="4"/>
      <c r="G14" s="6"/>
      <c r="H14" s="4"/>
      <c r="I14" s="4"/>
      <c r="J14" s="7" t="str">
        <f aca="false">IF(B14="","",HYPERLINK("https://www.torn.com/profiles.php?XID="&amp;B14,"Profile"))</f>
        <v/>
      </c>
      <c r="K14" s="7" t="str">
        <f aca="false">IF(B14="","",HYPERLINK("https://www.torn.com/loader.php?sid=attack&amp;user2ID="&amp;B14,"Attack"))</f>
        <v/>
      </c>
      <c r="L14" s="8" t="str">
        <f aca="false">IF(B14="","",IF(COUNTIF('Mug Log'!$B$5:$B$1004,B14)=0,"",_xlfn.MAXIFS('Mug Log'!$A$5:$A$1004,'Mug Log'!$B$5:$B$1004,B14)))</f>
        <v/>
      </c>
      <c r="M14" s="9" t="str">
        <f aca="false">IF(L14="","",SUMIFS('Mug Log'!$D$5:$D$1004,'Mug Log'!$B$5:$B$1004,B14,'Mug Log'!$A$5:$A$1004,L14))</f>
        <v/>
      </c>
      <c r="N14" s="8" t="str">
        <f aca="false">IF(L14="","",L14+Settings!$B$7/24)</f>
        <v/>
      </c>
      <c r="O14" s="8" t="str">
        <f aca="false">IF(N14="","",N14+Settings!$B$6/24)</f>
        <v/>
      </c>
      <c r="P14" s="10" t="str">
        <f aca="false">IF(B14="","",IF(L14="","Never hit",IF(N14&lt;=Settings!$B$8,"READY","Cooldown")))</f>
        <v/>
      </c>
      <c r="Q14" s="11" t="str">
        <f aca="false">IF(P14="Cooldown",N14-Settings!$B$8,"")</f>
        <v/>
      </c>
      <c r="R14" s="12" t="str">
        <f aca="false">IF(B14="","",COUNTIF('Mug Log'!$B$5:$B$1004,B14))</f>
        <v/>
      </c>
      <c r="S14" s="9" t="str">
        <f aca="false">IF(B14="","",SUMIFS('Mug Log'!$D$5:$D$1004,'Mug Log'!$B$5:$B$1004,B14))</f>
        <v/>
      </c>
      <c r="T14" s="9" t="str">
        <f aca="false">IF(OR(B14="",R14=0),"",S14/R14)</f>
        <v/>
      </c>
      <c r="U14" s="4"/>
    </row>
    <row r="15" customFormat="false" ht="15" hidden="false" customHeight="false" outlineLevel="0" collapsed="false">
      <c r="A15" s="4"/>
      <c r="B15" s="5"/>
      <c r="C15" s="4"/>
      <c r="D15" s="6"/>
      <c r="E15" s="4"/>
      <c r="F15" s="4"/>
      <c r="G15" s="6"/>
      <c r="H15" s="4"/>
      <c r="I15" s="4"/>
      <c r="J15" s="7" t="str">
        <f aca="false">IF(B15="","",HYPERLINK("https://www.torn.com/profiles.php?XID="&amp;B15,"Profile"))</f>
        <v/>
      </c>
      <c r="K15" s="7" t="str">
        <f aca="false">IF(B15="","",HYPERLINK("https://www.torn.com/loader.php?sid=attack&amp;user2ID="&amp;B15,"Attack"))</f>
        <v/>
      </c>
      <c r="L15" s="8" t="str">
        <f aca="false">IF(B15="","",IF(COUNTIF('Mug Log'!$B$5:$B$1004,B15)=0,"",_xlfn.MAXIFS('Mug Log'!$A$5:$A$1004,'Mug Log'!$B$5:$B$1004,B15)))</f>
        <v/>
      </c>
      <c r="M15" s="9" t="str">
        <f aca="false">IF(L15="","",SUMIFS('Mug Log'!$D$5:$D$1004,'Mug Log'!$B$5:$B$1004,B15,'Mug Log'!$A$5:$A$1004,L15))</f>
        <v/>
      </c>
      <c r="N15" s="8" t="str">
        <f aca="false">IF(L15="","",L15+Settings!$B$7/24)</f>
        <v/>
      </c>
      <c r="O15" s="8" t="str">
        <f aca="false">IF(N15="","",N15+Settings!$B$6/24)</f>
        <v/>
      </c>
      <c r="P15" s="10" t="str">
        <f aca="false">IF(B15="","",IF(L15="","Never hit",IF(N15&lt;=Settings!$B$8,"READY","Cooldown")))</f>
        <v/>
      </c>
      <c r="Q15" s="11" t="str">
        <f aca="false">IF(P15="Cooldown",N15-Settings!$B$8,"")</f>
        <v/>
      </c>
      <c r="R15" s="12" t="str">
        <f aca="false">IF(B15="","",COUNTIF('Mug Log'!$B$5:$B$1004,B15))</f>
        <v/>
      </c>
      <c r="S15" s="9" t="str">
        <f aca="false">IF(B15="","",SUMIFS('Mug Log'!$D$5:$D$1004,'Mug Log'!$B$5:$B$1004,B15))</f>
        <v/>
      </c>
      <c r="T15" s="9" t="str">
        <f aca="false">IF(OR(B15="",R15=0),"",S15/R15)</f>
        <v/>
      </c>
      <c r="U15" s="4"/>
    </row>
    <row r="16" customFormat="false" ht="15" hidden="false" customHeight="false" outlineLevel="0" collapsed="false">
      <c r="A16" s="4"/>
      <c r="B16" s="5"/>
      <c r="C16" s="4"/>
      <c r="D16" s="6"/>
      <c r="E16" s="4"/>
      <c r="F16" s="4"/>
      <c r="G16" s="6"/>
      <c r="H16" s="4"/>
      <c r="I16" s="4"/>
      <c r="J16" s="7" t="str">
        <f aca="false">IF(B16="","",HYPERLINK("https://www.torn.com/profiles.php?XID="&amp;B16,"Profile"))</f>
        <v/>
      </c>
      <c r="K16" s="7" t="str">
        <f aca="false">IF(B16="","",HYPERLINK("https://www.torn.com/loader.php?sid=attack&amp;user2ID="&amp;B16,"Attack"))</f>
        <v/>
      </c>
      <c r="L16" s="8" t="str">
        <f aca="false">IF(B16="","",IF(COUNTIF('Mug Log'!$B$5:$B$1004,B16)=0,"",_xlfn.MAXIFS('Mug Log'!$A$5:$A$1004,'Mug Log'!$B$5:$B$1004,B16)))</f>
        <v/>
      </c>
      <c r="M16" s="9" t="str">
        <f aca="false">IF(L16="","",SUMIFS('Mug Log'!$D$5:$D$1004,'Mug Log'!$B$5:$B$1004,B16,'Mug Log'!$A$5:$A$1004,L16))</f>
        <v/>
      </c>
      <c r="N16" s="8" t="str">
        <f aca="false">IF(L16="","",L16+Settings!$B$7/24)</f>
        <v/>
      </c>
      <c r="O16" s="8" t="str">
        <f aca="false">IF(N16="","",N16+Settings!$B$6/24)</f>
        <v/>
      </c>
      <c r="P16" s="10" t="str">
        <f aca="false">IF(B16="","",IF(L16="","Never hit",IF(N16&lt;=Settings!$B$8,"READY","Cooldown")))</f>
        <v/>
      </c>
      <c r="Q16" s="11" t="str">
        <f aca="false">IF(P16="Cooldown",N16-Settings!$B$8,"")</f>
        <v/>
      </c>
      <c r="R16" s="12" t="str">
        <f aca="false">IF(B16="","",COUNTIF('Mug Log'!$B$5:$B$1004,B16))</f>
        <v/>
      </c>
      <c r="S16" s="9" t="str">
        <f aca="false">IF(B16="","",SUMIFS('Mug Log'!$D$5:$D$1004,'Mug Log'!$B$5:$B$1004,B16))</f>
        <v/>
      </c>
      <c r="T16" s="9" t="str">
        <f aca="false">IF(OR(B16="",R16=0),"",S16/R16)</f>
        <v/>
      </c>
      <c r="U16" s="4"/>
    </row>
    <row r="17" customFormat="false" ht="15" hidden="false" customHeight="false" outlineLevel="0" collapsed="false">
      <c r="A17" s="4"/>
      <c r="B17" s="5"/>
      <c r="C17" s="4"/>
      <c r="D17" s="6"/>
      <c r="E17" s="4"/>
      <c r="F17" s="4"/>
      <c r="G17" s="6"/>
      <c r="H17" s="4"/>
      <c r="I17" s="4"/>
      <c r="J17" s="7" t="str">
        <f aca="false">IF(B17="","",HYPERLINK("https://www.torn.com/profiles.php?XID="&amp;B17,"Profile"))</f>
        <v/>
      </c>
      <c r="K17" s="7" t="str">
        <f aca="false">IF(B17="","",HYPERLINK("https://www.torn.com/loader.php?sid=attack&amp;user2ID="&amp;B17,"Attack"))</f>
        <v/>
      </c>
      <c r="L17" s="8" t="str">
        <f aca="false">IF(B17="","",IF(COUNTIF('Mug Log'!$B$5:$B$1004,B17)=0,"",_xlfn.MAXIFS('Mug Log'!$A$5:$A$1004,'Mug Log'!$B$5:$B$1004,B17)))</f>
        <v/>
      </c>
      <c r="M17" s="9" t="str">
        <f aca="false">IF(L17="","",SUMIFS('Mug Log'!$D$5:$D$1004,'Mug Log'!$B$5:$B$1004,B17,'Mug Log'!$A$5:$A$1004,L17))</f>
        <v/>
      </c>
      <c r="N17" s="8" t="str">
        <f aca="false">IF(L17="","",L17+Settings!$B$7/24)</f>
        <v/>
      </c>
      <c r="O17" s="8" t="str">
        <f aca="false">IF(N17="","",N17+Settings!$B$6/24)</f>
        <v/>
      </c>
      <c r="P17" s="10" t="str">
        <f aca="false">IF(B17="","",IF(L17="","Never hit",IF(N17&lt;=Settings!$B$8,"READY","Cooldown")))</f>
        <v/>
      </c>
      <c r="Q17" s="11" t="str">
        <f aca="false">IF(P17="Cooldown",N17-Settings!$B$8,"")</f>
        <v/>
      </c>
      <c r="R17" s="12" t="str">
        <f aca="false">IF(B17="","",COUNTIF('Mug Log'!$B$5:$B$1004,B17))</f>
        <v/>
      </c>
      <c r="S17" s="9" t="str">
        <f aca="false">IF(B17="","",SUMIFS('Mug Log'!$D$5:$D$1004,'Mug Log'!$B$5:$B$1004,B17))</f>
        <v/>
      </c>
      <c r="T17" s="9" t="str">
        <f aca="false">IF(OR(B17="",R17=0),"",S17/R17)</f>
        <v/>
      </c>
      <c r="U17" s="4"/>
    </row>
    <row r="18" customFormat="false" ht="15" hidden="false" customHeight="false" outlineLevel="0" collapsed="false">
      <c r="A18" s="4"/>
      <c r="B18" s="5"/>
      <c r="C18" s="4"/>
      <c r="D18" s="6"/>
      <c r="E18" s="4"/>
      <c r="F18" s="4"/>
      <c r="G18" s="6"/>
      <c r="H18" s="4"/>
      <c r="I18" s="4"/>
      <c r="J18" s="7" t="str">
        <f aca="false">IF(B18="","",HYPERLINK("https://www.torn.com/profiles.php?XID="&amp;B18,"Profile"))</f>
        <v/>
      </c>
      <c r="K18" s="7" t="str">
        <f aca="false">IF(B18="","",HYPERLINK("https://www.torn.com/loader.php?sid=attack&amp;user2ID="&amp;B18,"Attack"))</f>
        <v/>
      </c>
      <c r="L18" s="8" t="str">
        <f aca="false">IF(B18="","",IF(COUNTIF('Mug Log'!$B$5:$B$1004,B18)=0,"",_xlfn.MAXIFS('Mug Log'!$A$5:$A$1004,'Mug Log'!$B$5:$B$1004,B18)))</f>
        <v/>
      </c>
      <c r="M18" s="9" t="str">
        <f aca="false">IF(L18="","",SUMIFS('Mug Log'!$D$5:$D$1004,'Mug Log'!$B$5:$B$1004,B18,'Mug Log'!$A$5:$A$1004,L18))</f>
        <v/>
      </c>
      <c r="N18" s="8" t="str">
        <f aca="false">IF(L18="","",L18+Settings!$B$7/24)</f>
        <v/>
      </c>
      <c r="O18" s="8" t="str">
        <f aca="false">IF(N18="","",N18+Settings!$B$6/24)</f>
        <v/>
      </c>
      <c r="P18" s="10" t="str">
        <f aca="false">IF(B18="","",IF(L18="","Never hit",IF(N18&lt;=Settings!$B$8,"READY","Cooldown")))</f>
        <v/>
      </c>
      <c r="Q18" s="11" t="str">
        <f aca="false">IF(P18="Cooldown",N18-Settings!$B$8,"")</f>
        <v/>
      </c>
      <c r="R18" s="12" t="str">
        <f aca="false">IF(B18="","",COUNTIF('Mug Log'!$B$5:$B$1004,B18))</f>
        <v/>
      </c>
      <c r="S18" s="9" t="str">
        <f aca="false">IF(B18="","",SUMIFS('Mug Log'!$D$5:$D$1004,'Mug Log'!$B$5:$B$1004,B18))</f>
        <v/>
      </c>
      <c r="T18" s="9" t="str">
        <f aca="false">IF(OR(B18="",R18=0),"",S18/R18)</f>
        <v/>
      </c>
      <c r="U18" s="4"/>
    </row>
    <row r="19" customFormat="false" ht="15" hidden="false" customHeight="false" outlineLevel="0" collapsed="false">
      <c r="A19" s="4"/>
      <c r="B19" s="5"/>
      <c r="C19" s="4"/>
      <c r="D19" s="6"/>
      <c r="E19" s="4"/>
      <c r="F19" s="4"/>
      <c r="G19" s="6"/>
      <c r="H19" s="4"/>
      <c r="I19" s="4"/>
      <c r="J19" s="7" t="str">
        <f aca="false">IF(B19="","",HYPERLINK("https://www.torn.com/profiles.php?XID="&amp;B19,"Profile"))</f>
        <v/>
      </c>
      <c r="K19" s="7" t="str">
        <f aca="false">IF(B19="","",HYPERLINK("https://www.torn.com/loader.php?sid=attack&amp;user2ID="&amp;B19,"Attack"))</f>
        <v/>
      </c>
      <c r="L19" s="8" t="str">
        <f aca="false">IF(B19="","",IF(COUNTIF('Mug Log'!$B$5:$B$1004,B19)=0,"",_xlfn.MAXIFS('Mug Log'!$A$5:$A$1004,'Mug Log'!$B$5:$B$1004,B19)))</f>
        <v/>
      </c>
      <c r="M19" s="9" t="str">
        <f aca="false">IF(L19="","",SUMIFS('Mug Log'!$D$5:$D$1004,'Mug Log'!$B$5:$B$1004,B19,'Mug Log'!$A$5:$A$1004,L19))</f>
        <v/>
      </c>
      <c r="N19" s="8" t="str">
        <f aca="false">IF(L19="","",L19+Settings!$B$7/24)</f>
        <v/>
      </c>
      <c r="O19" s="8" t="str">
        <f aca="false">IF(N19="","",N19+Settings!$B$6/24)</f>
        <v/>
      </c>
      <c r="P19" s="10" t="str">
        <f aca="false">IF(B19="","",IF(L19="","Never hit",IF(N19&lt;=Settings!$B$8,"READY","Cooldown")))</f>
        <v/>
      </c>
      <c r="Q19" s="11" t="str">
        <f aca="false">IF(P19="Cooldown",N19-Settings!$B$8,"")</f>
        <v/>
      </c>
      <c r="R19" s="12" t="str">
        <f aca="false">IF(B19="","",COUNTIF('Mug Log'!$B$5:$B$1004,B19))</f>
        <v/>
      </c>
      <c r="S19" s="9" t="str">
        <f aca="false">IF(B19="","",SUMIFS('Mug Log'!$D$5:$D$1004,'Mug Log'!$B$5:$B$1004,B19))</f>
        <v/>
      </c>
      <c r="T19" s="9" t="str">
        <f aca="false">IF(OR(B19="",R19=0),"",S19/R19)</f>
        <v/>
      </c>
      <c r="U19" s="4"/>
    </row>
    <row r="20" customFormat="false" ht="15" hidden="false" customHeight="false" outlineLevel="0" collapsed="false">
      <c r="A20" s="4"/>
      <c r="B20" s="5"/>
      <c r="C20" s="4"/>
      <c r="D20" s="6"/>
      <c r="E20" s="4"/>
      <c r="F20" s="4"/>
      <c r="G20" s="6"/>
      <c r="H20" s="4"/>
      <c r="I20" s="4"/>
      <c r="J20" s="7" t="str">
        <f aca="false">IF(B20="","",HYPERLINK("https://www.torn.com/profiles.php?XID="&amp;B20,"Profile"))</f>
        <v/>
      </c>
      <c r="K20" s="7" t="str">
        <f aca="false">IF(B20="","",HYPERLINK("https://www.torn.com/loader.php?sid=attack&amp;user2ID="&amp;B20,"Attack"))</f>
        <v/>
      </c>
      <c r="L20" s="8" t="str">
        <f aca="false">IF(B20="","",IF(COUNTIF('Mug Log'!$B$5:$B$1004,B20)=0,"",_xlfn.MAXIFS('Mug Log'!$A$5:$A$1004,'Mug Log'!$B$5:$B$1004,B20)))</f>
        <v/>
      </c>
      <c r="M20" s="9" t="str">
        <f aca="false">IF(L20="","",SUMIFS('Mug Log'!$D$5:$D$1004,'Mug Log'!$B$5:$B$1004,B20,'Mug Log'!$A$5:$A$1004,L20))</f>
        <v/>
      </c>
      <c r="N20" s="8" t="str">
        <f aca="false">IF(L20="","",L20+Settings!$B$7/24)</f>
        <v/>
      </c>
      <c r="O20" s="8" t="str">
        <f aca="false">IF(N20="","",N20+Settings!$B$6/24)</f>
        <v/>
      </c>
      <c r="P20" s="10" t="str">
        <f aca="false">IF(B20="","",IF(L20="","Never hit",IF(N20&lt;=Settings!$B$8,"READY","Cooldown")))</f>
        <v/>
      </c>
      <c r="Q20" s="11" t="str">
        <f aca="false">IF(P20="Cooldown",N20-Settings!$B$8,"")</f>
        <v/>
      </c>
      <c r="R20" s="12" t="str">
        <f aca="false">IF(B20="","",COUNTIF('Mug Log'!$B$5:$B$1004,B20))</f>
        <v/>
      </c>
      <c r="S20" s="9" t="str">
        <f aca="false">IF(B20="","",SUMIFS('Mug Log'!$D$5:$D$1004,'Mug Log'!$B$5:$B$1004,B20))</f>
        <v/>
      </c>
      <c r="T20" s="9" t="str">
        <f aca="false">IF(OR(B20="",R20=0),"",S20/R20)</f>
        <v/>
      </c>
      <c r="U20" s="4"/>
    </row>
    <row r="21" customFormat="false" ht="15" hidden="false" customHeight="false" outlineLevel="0" collapsed="false">
      <c r="A21" s="4"/>
      <c r="B21" s="5"/>
      <c r="C21" s="4"/>
      <c r="D21" s="6"/>
      <c r="E21" s="4"/>
      <c r="F21" s="4"/>
      <c r="G21" s="6"/>
      <c r="H21" s="4"/>
      <c r="I21" s="4"/>
      <c r="J21" s="7" t="str">
        <f aca="false">IF(B21="","",HYPERLINK("https://www.torn.com/profiles.php?XID="&amp;B21,"Profile"))</f>
        <v/>
      </c>
      <c r="K21" s="7" t="str">
        <f aca="false">IF(B21="","",HYPERLINK("https://www.torn.com/loader.php?sid=attack&amp;user2ID="&amp;B21,"Attack"))</f>
        <v/>
      </c>
      <c r="L21" s="8" t="str">
        <f aca="false">IF(B21="","",IF(COUNTIF('Mug Log'!$B$5:$B$1004,B21)=0,"",_xlfn.MAXIFS('Mug Log'!$A$5:$A$1004,'Mug Log'!$B$5:$B$1004,B21)))</f>
        <v/>
      </c>
      <c r="M21" s="9" t="str">
        <f aca="false">IF(L21="","",SUMIFS('Mug Log'!$D$5:$D$1004,'Mug Log'!$B$5:$B$1004,B21,'Mug Log'!$A$5:$A$1004,L21))</f>
        <v/>
      </c>
      <c r="N21" s="8" t="str">
        <f aca="false">IF(L21="","",L21+Settings!$B$7/24)</f>
        <v/>
      </c>
      <c r="O21" s="8" t="str">
        <f aca="false">IF(N21="","",N21+Settings!$B$6/24)</f>
        <v/>
      </c>
      <c r="P21" s="10" t="str">
        <f aca="false">IF(B21="","",IF(L21="","Never hit",IF(N21&lt;=Settings!$B$8,"READY","Cooldown")))</f>
        <v/>
      </c>
      <c r="Q21" s="11" t="str">
        <f aca="false">IF(P21="Cooldown",N21-Settings!$B$8,"")</f>
        <v/>
      </c>
      <c r="R21" s="12" t="str">
        <f aca="false">IF(B21="","",COUNTIF('Mug Log'!$B$5:$B$1004,B21))</f>
        <v/>
      </c>
      <c r="S21" s="9" t="str">
        <f aca="false">IF(B21="","",SUMIFS('Mug Log'!$D$5:$D$1004,'Mug Log'!$B$5:$B$1004,B21))</f>
        <v/>
      </c>
      <c r="T21" s="9" t="str">
        <f aca="false">IF(OR(B21="",R21=0),"",S21/R21)</f>
        <v/>
      </c>
      <c r="U21" s="4"/>
    </row>
    <row r="22" customFormat="false" ht="15" hidden="false" customHeight="false" outlineLevel="0" collapsed="false">
      <c r="A22" s="4"/>
      <c r="B22" s="5"/>
      <c r="C22" s="4"/>
      <c r="D22" s="6"/>
      <c r="E22" s="4"/>
      <c r="F22" s="4"/>
      <c r="G22" s="6"/>
      <c r="H22" s="4"/>
      <c r="I22" s="4"/>
      <c r="J22" s="7" t="str">
        <f aca="false">IF(B22="","",HYPERLINK("https://www.torn.com/profiles.php?XID="&amp;B22,"Profile"))</f>
        <v/>
      </c>
      <c r="K22" s="7" t="str">
        <f aca="false">IF(B22="","",HYPERLINK("https://www.torn.com/loader.php?sid=attack&amp;user2ID="&amp;B22,"Attack"))</f>
        <v/>
      </c>
      <c r="L22" s="8" t="str">
        <f aca="false">IF(B22="","",IF(COUNTIF('Mug Log'!$B$5:$B$1004,B22)=0,"",_xlfn.MAXIFS('Mug Log'!$A$5:$A$1004,'Mug Log'!$B$5:$B$1004,B22)))</f>
        <v/>
      </c>
      <c r="M22" s="9" t="str">
        <f aca="false">IF(L22="","",SUMIFS('Mug Log'!$D$5:$D$1004,'Mug Log'!$B$5:$B$1004,B22,'Mug Log'!$A$5:$A$1004,L22))</f>
        <v/>
      </c>
      <c r="N22" s="8" t="str">
        <f aca="false">IF(L22="","",L22+Settings!$B$7/24)</f>
        <v/>
      </c>
      <c r="O22" s="8" t="str">
        <f aca="false">IF(N22="","",N22+Settings!$B$6/24)</f>
        <v/>
      </c>
      <c r="P22" s="10" t="str">
        <f aca="false">IF(B22="","",IF(L22="","Never hit",IF(N22&lt;=Settings!$B$8,"READY","Cooldown")))</f>
        <v/>
      </c>
      <c r="Q22" s="11" t="str">
        <f aca="false">IF(P22="Cooldown",N22-Settings!$B$8,"")</f>
        <v/>
      </c>
      <c r="R22" s="12" t="str">
        <f aca="false">IF(B22="","",COUNTIF('Mug Log'!$B$5:$B$1004,B22))</f>
        <v/>
      </c>
      <c r="S22" s="9" t="str">
        <f aca="false">IF(B22="","",SUMIFS('Mug Log'!$D$5:$D$1004,'Mug Log'!$B$5:$B$1004,B22))</f>
        <v/>
      </c>
      <c r="T22" s="9" t="str">
        <f aca="false">IF(OR(B22="",R22=0),"",S22/R22)</f>
        <v/>
      </c>
      <c r="U22" s="4"/>
    </row>
    <row r="23" customFormat="false" ht="15" hidden="false" customHeight="false" outlineLevel="0" collapsed="false">
      <c r="A23" s="4"/>
      <c r="B23" s="5"/>
      <c r="C23" s="4"/>
      <c r="D23" s="6"/>
      <c r="E23" s="4"/>
      <c r="F23" s="4"/>
      <c r="G23" s="6"/>
      <c r="H23" s="4"/>
      <c r="I23" s="4"/>
      <c r="J23" s="7" t="str">
        <f aca="false">IF(B23="","",HYPERLINK("https://www.torn.com/profiles.php?XID="&amp;B23,"Profile"))</f>
        <v/>
      </c>
      <c r="K23" s="7" t="str">
        <f aca="false">IF(B23="","",HYPERLINK("https://www.torn.com/loader.php?sid=attack&amp;user2ID="&amp;B23,"Attack"))</f>
        <v/>
      </c>
      <c r="L23" s="8" t="str">
        <f aca="false">IF(B23="","",IF(COUNTIF('Mug Log'!$B$5:$B$1004,B23)=0,"",_xlfn.MAXIFS('Mug Log'!$A$5:$A$1004,'Mug Log'!$B$5:$B$1004,B23)))</f>
        <v/>
      </c>
      <c r="M23" s="9" t="str">
        <f aca="false">IF(L23="","",SUMIFS('Mug Log'!$D$5:$D$1004,'Mug Log'!$B$5:$B$1004,B23,'Mug Log'!$A$5:$A$1004,L23))</f>
        <v/>
      </c>
      <c r="N23" s="8" t="str">
        <f aca="false">IF(L23="","",L23+Settings!$B$7/24)</f>
        <v/>
      </c>
      <c r="O23" s="8" t="str">
        <f aca="false">IF(N23="","",N23+Settings!$B$6/24)</f>
        <v/>
      </c>
      <c r="P23" s="10" t="str">
        <f aca="false">IF(B23="","",IF(L23="","Never hit",IF(N23&lt;=Settings!$B$8,"READY","Cooldown")))</f>
        <v/>
      </c>
      <c r="Q23" s="11" t="str">
        <f aca="false">IF(P23="Cooldown",N23-Settings!$B$8,"")</f>
        <v/>
      </c>
      <c r="R23" s="12" t="str">
        <f aca="false">IF(B23="","",COUNTIF('Mug Log'!$B$5:$B$1004,B23))</f>
        <v/>
      </c>
      <c r="S23" s="9" t="str">
        <f aca="false">IF(B23="","",SUMIFS('Mug Log'!$D$5:$D$1004,'Mug Log'!$B$5:$B$1004,B23))</f>
        <v/>
      </c>
      <c r="T23" s="9" t="str">
        <f aca="false">IF(OR(B23="",R23=0),"",S23/R23)</f>
        <v/>
      </c>
      <c r="U23" s="4"/>
    </row>
    <row r="24" customFormat="false" ht="15" hidden="false" customHeight="false" outlineLevel="0" collapsed="false">
      <c r="A24" s="4"/>
      <c r="B24" s="5"/>
      <c r="C24" s="4"/>
      <c r="D24" s="6"/>
      <c r="E24" s="4"/>
      <c r="F24" s="4"/>
      <c r="G24" s="6"/>
      <c r="H24" s="4"/>
      <c r="I24" s="4"/>
      <c r="J24" s="7" t="str">
        <f aca="false">IF(B24="","",HYPERLINK("https://www.torn.com/profiles.php?XID="&amp;B24,"Profile"))</f>
        <v/>
      </c>
      <c r="K24" s="7" t="str">
        <f aca="false">IF(B24="","",HYPERLINK("https://www.torn.com/loader.php?sid=attack&amp;user2ID="&amp;B24,"Attack"))</f>
        <v/>
      </c>
      <c r="L24" s="8" t="str">
        <f aca="false">IF(B24="","",IF(COUNTIF('Mug Log'!$B$5:$B$1004,B24)=0,"",_xlfn.MAXIFS('Mug Log'!$A$5:$A$1004,'Mug Log'!$B$5:$B$1004,B24)))</f>
        <v/>
      </c>
      <c r="M24" s="9" t="str">
        <f aca="false">IF(L24="","",SUMIFS('Mug Log'!$D$5:$D$1004,'Mug Log'!$B$5:$B$1004,B24,'Mug Log'!$A$5:$A$1004,L24))</f>
        <v/>
      </c>
      <c r="N24" s="8" t="str">
        <f aca="false">IF(L24="","",L24+Settings!$B$7/24)</f>
        <v/>
      </c>
      <c r="O24" s="8" t="str">
        <f aca="false">IF(N24="","",N24+Settings!$B$6/24)</f>
        <v/>
      </c>
      <c r="P24" s="10" t="str">
        <f aca="false">IF(B24="","",IF(L24="","Never hit",IF(N24&lt;=Settings!$B$8,"READY","Cooldown")))</f>
        <v/>
      </c>
      <c r="Q24" s="11" t="str">
        <f aca="false">IF(P24="Cooldown",N24-Settings!$B$8,"")</f>
        <v/>
      </c>
      <c r="R24" s="12" t="str">
        <f aca="false">IF(B24="","",COUNTIF('Mug Log'!$B$5:$B$1004,B24))</f>
        <v/>
      </c>
      <c r="S24" s="9" t="str">
        <f aca="false">IF(B24="","",SUMIFS('Mug Log'!$D$5:$D$1004,'Mug Log'!$B$5:$B$1004,B24))</f>
        <v/>
      </c>
      <c r="T24" s="9" t="str">
        <f aca="false">IF(OR(B24="",R24=0),"",S24/R24)</f>
        <v/>
      </c>
      <c r="U24" s="4"/>
    </row>
    <row r="25" customFormat="false" ht="15" hidden="false" customHeight="false" outlineLevel="0" collapsed="false">
      <c r="A25" s="4"/>
      <c r="B25" s="5"/>
      <c r="C25" s="4"/>
      <c r="D25" s="6"/>
      <c r="E25" s="4"/>
      <c r="F25" s="4"/>
      <c r="G25" s="6"/>
      <c r="H25" s="4"/>
      <c r="I25" s="4"/>
      <c r="J25" s="7" t="str">
        <f aca="false">IF(B25="","",HYPERLINK("https://www.torn.com/profiles.php?XID="&amp;B25,"Profile"))</f>
        <v/>
      </c>
      <c r="K25" s="7" t="str">
        <f aca="false">IF(B25="","",HYPERLINK("https://www.torn.com/loader.php?sid=attack&amp;user2ID="&amp;B25,"Attack"))</f>
        <v/>
      </c>
      <c r="L25" s="8" t="str">
        <f aca="false">IF(B25="","",IF(COUNTIF('Mug Log'!$B$5:$B$1004,B25)=0,"",_xlfn.MAXIFS('Mug Log'!$A$5:$A$1004,'Mug Log'!$B$5:$B$1004,B25)))</f>
        <v/>
      </c>
      <c r="M25" s="9" t="str">
        <f aca="false">IF(L25="","",SUMIFS('Mug Log'!$D$5:$D$1004,'Mug Log'!$B$5:$B$1004,B25,'Mug Log'!$A$5:$A$1004,L25))</f>
        <v/>
      </c>
      <c r="N25" s="8" t="str">
        <f aca="false">IF(L25="","",L25+Settings!$B$7/24)</f>
        <v/>
      </c>
      <c r="O25" s="8" t="str">
        <f aca="false">IF(N25="","",N25+Settings!$B$6/24)</f>
        <v/>
      </c>
      <c r="P25" s="10" t="str">
        <f aca="false">IF(B25="","",IF(L25="","Never hit",IF(N25&lt;=Settings!$B$8,"READY","Cooldown")))</f>
        <v/>
      </c>
      <c r="Q25" s="11" t="str">
        <f aca="false">IF(P25="Cooldown",N25-Settings!$B$8,"")</f>
        <v/>
      </c>
      <c r="R25" s="12" t="str">
        <f aca="false">IF(B25="","",COUNTIF('Mug Log'!$B$5:$B$1004,B25))</f>
        <v/>
      </c>
      <c r="S25" s="9" t="str">
        <f aca="false">IF(B25="","",SUMIFS('Mug Log'!$D$5:$D$1004,'Mug Log'!$B$5:$B$1004,B25))</f>
        <v/>
      </c>
      <c r="T25" s="9" t="str">
        <f aca="false">IF(OR(B25="",R25=0),"",S25/R25)</f>
        <v/>
      </c>
      <c r="U25" s="4"/>
    </row>
    <row r="26" customFormat="false" ht="15" hidden="false" customHeight="false" outlineLevel="0" collapsed="false">
      <c r="A26" s="4"/>
      <c r="B26" s="5"/>
      <c r="C26" s="4"/>
      <c r="D26" s="6"/>
      <c r="E26" s="4"/>
      <c r="F26" s="4"/>
      <c r="G26" s="6"/>
      <c r="H26" s="4"/>
      <c r="I26" s="4"/>
      <c r="J26" s="7" t="str">
        <f aca="false">IF(B26="","",HYPERLINK("https://www.torn.com/profiles.php?XID="&amp;B26,"Profile"))</f>
        <v/>
      </c>
      <c r="K26" s="7" t="str">
        <f aca="false">IF(B26="","",HYPERLINK("https://www.torn.com/loader.php?sid=attack&amp;user2ID="&amp;B26,"Attack"))</f>
        <v/>
      </c>
      <c r="L26" s="8" t="str">
        <f aca="false">IF(B26="","",IF(COUNTIF('Mug Log'!$B$5:$B$1004,B26)=0,"",_xlfn.MAXIFS('Mug Log'!$A$5:$A$1004,'Mug Log'!$B$5:$B$1004,B26)))</f>
        <v/>
      </c>
      <c r="M26" s="9" t="str">
        <f aca="false">IF(L26="","",SUMIFS('Mug Log'!$D$5:$D$1004,'Mug Log'!$B$5:$B$1004,B26,'Mug Log'!$A$5:$A$1004,L26))</f>
        <v/>
      </c>
      <c r="N26" s="8" t="str">
        <f aca="false">IF(L26="","",L26+Settings!$B$7/24)</f>
        <v/>
      </c>
      <c r="O26" s="8" t="str">
        <f aca="false">IF(N26="","",N26+Settings!$B$6/24)</f>
        <v/>
      </c>
      <c r="P26" s="10" t="str">
        <f aca="false">IF(B26="","",IF(L26="","Never hit",IF(N26&lt;=Settings!$B$8,"READY","Cooldown")))</f>
        <v/>
      </c>
      <c r="Q26" s="11" t="str">
        <f aca="false">IF(P26="Cooldown",N26-Settings!$B$8,"")</f>
        <v/>
      </c>
      <c r="R26" s="12" t="str">
        <f aca="false">IF(B26="","",COUNTIF('Mug Log'!$B$5:$B$1004,B26))</f>
        <v/>
      </c>
      <c r="S26" s="9" t="str">
        <f aca="false">IF(B26="","",SUMIFS('Mug Log'!$D$5:$D$1004,'Mug Log'!$B$5:$B$1004,B26))</f>
        <v/>
      </c>
      <c r="T26" s="9" t="str">
        <f aca="false">IF(OR(B26="",R26=0),"",S26/R26)</f>
        <v/>
      </c>
      <c r="U26" s="4"/>
    </row>
    <row r="27" customFormat="false" ht="15" hidden="false" customHeight="false" outlineLevel="0" collapsed="false">
      <c r="A27" s="4"/>
      <c r="B27" s="5"/>
      <c r="C27" s="4"/>
      <c r="D27" s="6"/>
      <c r="E27" s="4"/>
      <c r="F27" s="4"/>
      <c r="G27" s="6"/>
      <c r="H27" s="4"/>
      <c r="I27" s="4"/>
      <c r="J27" s="7" t="str">
        <f aca="false">IF(B27="","",HYPERLINK("https://www.torn.com/profiles.php?XID="&amp;B27,"Profile"))</f>
        <v/>
      </c>
      <c r="K27" s="7" t="str">
        <f aca="false">IF(B27="","",HYPERLINK("https://www.torn.com/loader.php?sid=attack&amp;user2ID="&amp;B27,"Attack"))</f>
        <v/>
      </c>
      <c r="L27" s="8" t="str">
        <f aca="false">IF(B27="","",IF(COUNTIF('Mug Log'!$B$5:$B$1004,B27)=0,"",_xlfn.MAXIFS('Mug Log'!$A$5:$A$1004,'Mug Log'!$B$5:$B$1004,B27)))</f>
        <v/>
      </c>
      <c r="M27" s="9" t="str">
        <f aca="false">IF(L27="","",SUMIFS('Mug Log'!$D$5:$D$1004,'Mug Log'!$B$5:$B$1004,B27,'Mug Log'!$A$5:$A$1004,L27))</f>
        <v/>
      </c>
      <c r="N27" s="8" t="str">
        <f aca="false">IF(L27="","",L27+Settings!$B$7/24)</f>
        <v/>
      </c>
      <c r="O27" s="8" t="str">
        <f aca="false">IF(N27="","",N27+Settings!$B$6/24)</f>
        <v/>
      </c>
      <c r="P27" s="10" t="str">
        <f aca="false">IF(B27="","",IF(L27="","Never hit",IF(N27&lt;=Settings!$B$8,"READY","Cooldown")))</f>
        <v/>
      </c>
      <c r="Q27" s="11" t="str">
        <f aca="false">IF(P27="Cooldown",N27-Settings!$B$8,"")</f>
        <v/>
      </c>
      <c r="R27" s="12" t="str">
        <f aca="false">IF(B27="","",COUNTIF('Mug Log'!$B$5:$B$1004,B27))</f>
        <v/>
      </c>
      <c r="S27" s="9" t="str">
        <f aca="false">IF(B27="","",SUMIFS('Mug Log'!$D$5:$D$1004,'Mug Log'!$B$5:$B$1004,B27))</f>
        <v/>
      </c>
      <c r="T27" s="9" t="str">
        <f aca="false">IF(OR(B27="",R27=0),"",S27/R27)</f>
        <v/>
      </c>
      <c r="U27" s="4"/>
    </row>
    <row r="28" customFormat="false" ht="15" hidden="false" customHeight="false" outlineLevel="0" collapsed="false">
      <c r="A28" s="4"/>
      <c r="B28" s="5"/>
      <c r="C28" s="4"/>
      <c r="D28" s="6"/>
      <c r="E28" s="4"/>
      <c r="F28" s="4"/>
      <c r="G28" s="6"/>
      <c r="H28" s="4"/>
      <c r="I28" s="4"/>
      <c r="J28" s="7" t="str">
        <f aca="false">IF(B28="","",HYPERLINK("https://www.torn.com/profiles.php?XID="&amp;B28,"Profile"))</f>
        <v/>
      </c>
      <c r="K28" s="7" t="str">
        <f aca="false">IF(B28="","",HYPERLINK("https://www.torn.com/loader.php?sid=attack&amp;user2ID="&amp;B28,"Attack"))</f>
        <v/>
      </c>
      <c r="L28" s="8" t="str">
        <f aca="false">IF(B28="","",IF(COUNTIF('Mug Log'!$B$5:$B$1004,B28)=0,"",_xlfn.MAXIFS('Mug Log'!$A$5:$A$1004,'Mug Log'!$B$5:$B$1004,B28)))</f>
        <v/>
      </c>
      <c r="M28" s="9" t="str">
        <f aca="false">IF(L28="","",SUMIFS('Mug Log'!$D$5:$D$1004,'Mug Log'!$B$5:$B$1004,B28,'Mug Log'!$A$5:$A$1004,L28))</f>
        <v/>
      </c>
      <c r="N28" s="8" t="str">
        <f aca="false">IF(L28="","",L28+Settings!$B$7/24)</f>
        <v/>
      </c>
      <c r="O28" s="8" t="str">
        <f aca="false">IF(N28="","",N28+Settings!$B$6/24)</f>
        <v/>
      </c>
      <c r="P28" s="10" t="str">
        <f aca="false">IF(B28="","",IF(L28="","Never hit",IF(N28&lt;=Settings!$B$8,"READY","Cooldown")))</f>
        <v/>
      </c>
      <c r="Q28" s="11" t="str">
        <f aca="false">IF(P28="Cooldown",N28-Settings!$B$8,"")</f>
        <v/>
      </c>
      <c r="R28" s="12" t="str">
        <f aca="false">IF(B28="","",COUNTIF('Mug Log'!$B$5:$B$1004,B28))</f>
        <v/>
      </c>
      <c r="S28" s="9" t="str">
        <f aca="false">IF(B28="","",SUMIFS('Mug Log'!$D$5:$D$1004,'Mug Log'!$B$5:$B$1004,B28))</f>
        <v/>
      </c>
      <c r="T28" s="9" t="str">
        <f aca="false">IF(OR(B28="",R28=0),"",S28/R28)</f>
        <v/>
      </c>
      <c r="U28" s="4"/>
    </row>
    <row r="29" customFormat="false" ht="15" hidden="false" customHeight="false" outlineLevel="0" collapsed="false">
      <c r="A29" s="4"/>
      <c r="B29" s="5"/>
      <c r="C29" s="4"/>
      <c r="D29" s="6"/>
      <c r="E29" s="4"/>
      <c r="F29" s="4"/>
      <c r="G29" s="6"/>
      <c r="H29" s="4"/>
      <c r="I29" s="4"/>
      <c r="J29" s="7" t="str">
        <f aca="false">IF(B29="","",HYPERLINK("https://www.torn.com/profiles.php?XID="&amp;B29,"Profile"))</f>
        <v/>
      </c>
      <c r="K29" s="7" t="str">
        <f aca="false">IF(B29="","",HYPERLINK("https://www.torn.com/loader.php?sid=attack&amp;user2ID="&amp;B29,"Attack"))</f>
        <v/>
      </c>
      <c r="L29" s="8" t="str">
        <f aca="false">IF(B29="","",IF(COUNTIF('Mug Log'!$B$5:$B$1004,B29)=0,"",_xlfn.MAXIFS('Mug Log'!$A$5:$A$1004,'Mug Log'!$B$5:$B$1004,B29)))</f>
        <v/>
      </c>
      <c r="M29" s="9" t="str">
        <f aca="false">IF(L29="","",SUMIFS('Mug Log'!$D$5:$D$1004,'Mug Log'!$B$5:$B$1004,B29,'Mug Log'!$A$5:$A$1004,L29))</f>
        <v/>
      </c>
      <c r="N29" s="8" t="str">
        <f aca="false">IF(L29="","",L29+Settings!$B$7/24)</f>
        <v/>
      </c>
      <c r="O29" s="8" t="str">
        <f aca="false">IF(N29="","",N29+Settings!$B$6/24)</f>
        <v/>
      </c>
      <c r="P29" s="10" t="str">
        <f aca="false">IF(B29="","",IF(L29="","Never hit",IF(N29&lt;=Settings!$B$8,"READY","Cooldown")))</f>
        <v/>
      </c>
      <c r="Q29" s="11" t="str">
        <f aca="false">IF(P29="Cooldown",N29-Settings!$B$8,"")</f>
        <v/>
      </c>
      <c r="R29" s="12" t="str">
        <f aca="false">IF(B29="","",COUNTIF('Mug Log'!$B$5:$B$1004,B29))</f>
        <v/>
      </c>
      <c r="S29" s="9" t="str">
        <f aca="false">IF(B29="","",SUMIFS('Mug Log'!$D$5:$D$1004,'Mug Log'!$B$5:$B$1004,B29))</f>
        <v/>
      </c>
      <c r="T29" s="9" t="str">
        <f aca="false">IF(OR(B29="",R29=0),"",S29/R29)</f>
        <v/>
      </c>
      <c r="U29" s="4"/>
    </row>
    <row r="30" customFormat="false" ht="15" hidden="false" customHeight="false" outlineLevel="0" collapsed="false">
      <c r="A30" s="4"/>
      <c r="B30" s="5"/>
      <c r="C30" s="4"/>
      <c r="D30" s="6"/>
      <c r="E30" s="4"/>
      <c r="F30" s="4"/>
      <c r="G30" s="6"/>
      <c r="H30" s="4"/>
      <c r="I30" s="4"/>
      <c r="J30" s="7" t="str">
        <f aca="false">IF(B30="","",HYPERLINK("https://www.torn.com/profiles.php?XID="&amp;B30,"Profile"))</f>
        <v/>
      </c>
      <c r="K30" s="7" t="str">
        <f aca="false">IF(B30="","",HYPERLINK("https://www.torn.com/loader.php?sid=attack&amp;user2ID="&amp;B30,"Attack"))</f>
        <v/>
      </c>
      <c r="L30" s="8" t="str">
        <f aca="false">IF(B30="","",IF(COUNTIF('Mug Log'!$B$5:$B$1004,B30)=0,"",_xlfn.MAXIFS('Mug Log'!$A$5:$A$1004,'Mug Log'!$B$5:$B$1004,B30)))</f>
        <v/>
      </c>
      <c r="M30" s="9" t="str">
        <f aca="false">IF(L30="","",SUMIFS('Mug Log'!$D$5:$D$1004,'Mug Log'!$B$5:$B$1004,B30,'Mug Log'!$A$5:$A$1004,L30))</f>
        <v/>
      </c>
      <c r="N30" s="8" t="str">
        <f aca="false">IF(L30="","",L30+Settings!$B$7/24)</f>
        <v/>
      </c>
      <c r="O30" s="8" t="str">
        <f aca="false">IF(N30="","",N30+Settings!$B$6/24)</f>
        <v/>
      </c>
      <c r="P30" s="10" t="str">
        <f aca="false">IF(B30="","",IF(L30="","Never hit",IF(N30&lt;=Settings!$B$8,"READY","Cooldown")))</f>
        <v/>
      </c>
      <c r="Q30" s="11" t="str">
        <f aca="false">IF(P30="Cooldown",N30-Settings!$B$8,"")</f>
        <v/>
      </c>
      <c r="R30" s="12" t="str">
        <f aca="false">IF(B30="","",COUNTIF('Mug Log'!$B$5:$B$1004,B30))</f>
        <v/>
      </c>
      <c r="S30" s="9" t="str">
        <f aca="false">IF(B30="","",SUMIFS('Mug Log'!$D$5:$D$1004,'Mug Log'!$B$5:$B$1004,B30))</f>
        <v/>
      </c>
      <c r="T30" s="9" t="str">
        <f aca="false">IF(OR(B30="",R30=0),"",S30/R30)</f>
        <v/>
      </c>
      <c r="U30" s="4"/>
    </row>
    <row r="31" customFormat="false" ht="15" hidden="false" customHeight="false" outlineLevel="0" collapsed="false">
      <c r="A31" s="4"/>
      <c r="B31" s="5"/>
      <c r="C31" s="4"/>
      <c r="D31" s="6"/>
      <c r="E31" s="4"/>
      <c r="F31" s="4"/>
      <c r="G31" s="6"/>
      <c r="H31" s="4"/>
      <c r="I31" s="4"/>
      <c r="J31" s="7" t="str">
        <f aca="false">IF(B31="","",HYPERLINK("https://www.torn.com/profiles.php?XID="&amp;B31,"Profile"))</f>
        <v/>
      </c>
      <c r="K31" s="7" t="str">
        <f aca="false">IF(B31="","",HYPERLINK("https://www.torn.com/loader.php?sid=attack&amp;user2ID="&amp;B31,"Attack"))</f>
        <v/>
      </c>
      <c r="L31" s="8" t="str">
        <f aca="false">IF(B31="","",IF(COUNTIF('Mug Log'!$B$5:$B$1004,B31)=0,"",_xlfn.MAXIFS('Mug Log'!$A$5:$A$1004,'Mug Log'!$B$5:$B$1004,B31)))</f>
        <v/>
      </c>
      <c r="M31" s="9" t="str">
        <f aca="false">IF(L31="","",SUMIFS('Mug Log'!$D$5:$D$1004,'Mug Log'!$B$5:$B$1004,B31,'Mug Log'!$A$5:$A$1004,L31))</f>
        <v/>
      </c>
      <c r="N31" s="8" t="str">
        <f aca="false">IF(L31="","",L31+Settings!$B$7/24)</f>
        <v/>
      </c>
      <c r="O31" s="8" t="str">
        <f aca="false">IF(N31="","",N31+Settings!$B$6/24)</f>
        <v/>
      </c>
      <c r="P31" s="10" t="str">
        <f aca="false">IF(B31="","",IF(L31="","Never hit",IF(N31&lt;=Settings!$B$8,"READY","Cooldown")))</f>
        <v/>
      </c>
      <c r="Q31" s="11" t="str">
        <f aca="false">IF(P31="Cooldown",N31-Settings!$B$8,"")</f>
        <v/>
      </c>
      <c r="R31" s="12" t="str">
        <f aca="false">IF(B31="","",COUNTIF('Mug Log'!$B$5:$B$1004,B31))</f>
        <v/>
      </c>
      <c r="S31" s="9" t="str">
        <f aca="false">IF(B31="","",SUMIFS('Mug Log'!$D$5:$D$1004,'Mug Log'!$B$5:$B$1004,B31))</f>
        <v/>
      </c>
      <c r="T31" s="9" t="str">
        <f aca="false">IF(OR(B31="",R31=0),"",S31/R31)</f>
        <v/>
      </c>
      <c r="U31" s="4"/>
    </row>
    <row r="32" customFormat="false" ht="15" hidden="false" customHeight="false" outlineLevel="0" collapsed="false">
      <c r="A32" s="4"/>
      <c r="B32" s="5"/>
      <c r="C32" s="4"/>
      <c r="D32" s="6"/>
      <c r="E32" s="4"/>
      <c r="F32" s="4"/>
      <c r="G32" s="6"/>
      <c r="H32" s="4"/>
      <c r="I32" s="4"/>
      <c r="J32" s="7" t="str">
        <f aca="false">IF(B32="","",HYPERLINK("https://www.torn.com/profiles.php?XID="&amp;B32,"Profile"))</f>
        <v/>
      </c>
      <c r="K32" s="7" t="str">
        <f aca="false">IF(B32="","",HYPERLINK("https://www.torn.com/loader.php?sid=attack&amp;user2ID="&amp;B32,"Attack"))</f>
        <v/>
      </c>
      <c r="L32" s="8" t="str">
        <f aca="false">IF(B32="","",IF(COUNTIF('Mug Log'!$B$5:$B$1004,B32)=0,"",_xlfn.MAXIFS('Mug Log'!$A$5:$A$1004,'Mug Log'!$B$5:$B$1004,B32)))</f>
        <v/>
      </c>
      <c r="M32" s="9" t="str">
        <f aca="false">IF(L32="","",SUMIFS('Mug Log'!$D$5:$D$1004,'Mug Log'!$B$5:$B$1004,B32,'Mug Log'!$A$5:$A$1004,L32))</f>
        <v/>
      </c>
      <c r="N32" s="8" t="str">
        <f aca="false">IF(L32="","",L32+Settings!$B$7/24)</f>
        <v/>
      </c>
      <c r="O32" s="8" t="str">
        <f aca="false">IF(N32="","",N32+Settings!$B$6/24)</f>
        <v/>
      </c>
      <c r="P32" s="10" t="str">
        <f aca="false">IF(B32="","",IF(L32="","Never hit",IF(N32&lt;=Settings!$B$8,"READY","Cooldown")))</f>
        <v/>
      </c>
      <c r="Q32" s="11" t="str">
        <f aca="false">IF(P32="Cooldown",N32-Settings!$B$8,"")</f>
        <v/>
      </c>
      <c r="R32" s="12" t="str">
        <f aca="false">IF(B32="","",COUNTIF('Mug Log'!$B$5:$B$1004,B32))</f>
        <v/>
      </c>
      <c r="S32" s="9" t="str">
        <f aca="false">IF(B32="","",SUMIFS('Mug Log'!$D$5:$D$1004,'Mug Log'!$B$5:$B$1004,B32))</f>
        <v/>
      </c>
      <c r="T32" s="9" t="str">
        <f aca="false">IF(OR(B32="",R32=0),"",S32/R32)</f>
        <v/>
      </c>
      <c r="U32" s="4"/>
    </row>
    <row r="33" customFormat="false" ht="15" hidden="false" customHeight="false" outlineLevel="0" collapsed="false">
      <c r="A33" s="4"/>
      <c r="B33" s="5"/>
      <c r="C33" s="4"/>
      <c r="D33" s="6"/>
      <c r="E33" s="4"/>
      <c r="F33" s="4"/>
      <c r="G33" s="6"/>
      <c r="H33" s="4"/>
      <c r="I33" s="4"/>
      <c r="J33" s="7" t="str">
        <f aca="false">IF(B33="","",HYPERLINK("https://www.torn.com/profiles.php?XID="&amp;B33,"Profile"))</f>
        <v/>
      </c>
      <c r="K33" s="7" t="str">
        <f aca="false">IF(B33="","",HYPERLINK("https://www.torn.com/loader.php?sid=attack&amp;user2ID="&amp;B33,"Attack"))</f>
        <v/>
      </c>
      <c r="L33" s="8" t="str">
        <f aca="false">IF(B33="","",IF(COUNTIF('Mug Log'!$B$5:$B$1004,B33)=0,"",_xlfn.MAXIFS('Mug Log'!$A$5:$A$1004,'Mug Log'!$B$5:$B$1004,B33)))</f>
        <v/>
      </c>
      <c r="M33" s="9" t="str">
        <f aca="false">IF(L33="","",SUMIFS('Mug Log'!$D$5:$D$1004,'Mug Log'!$B$5:$B$1004,B33,'Mug Log'!$A$5:$A$1004,L33))</f>
        <v/>
      </c>
      <c r="N33" s="8" t="str">
        <f aca="false">IF(L33="","",L33+Settings!$B$7/24)</f>
        <v/>
      </c>
      <c r="O33" s="8" t="str">
        <f aca="false">IF(N33="","",N33+Settings!$B$6/24)</f>
        <v/>
      </c>
      <c r="P33" s="10" t="str">
        <f aca="false">IF(B33="","",IF(L33="","Never hit",IF(N33&lt;=Settings!$B$8,"READY","Cooldown")))</f>
        <v/>
      </c>
      <c r="Q33" s="11" t="str">
        <f aca="false">IF(P33="Cooldown",N33-Settings!$B$8,"")</f>
        <v/>
      </c>
      <c r="R33" s="12" t="str">
        <f aca="false">IF(B33="","",COUNTIF('Mug Log'!$B$5:$B$1004,B33))</f>
        <v/>
      </c>
      <c r="S33" s="9" t="str">
        <f aca="false">IF(B33="","",SUMIFS('Mug Log'!$D$5:$D$1004,'Mug Log'!$B$5:$B$1004,B33))</f>
        <v/>
      </c>
      <c r="T33" s="9" t="str">
        <f aca="false">IF(OR(B33="",R33=0),"",S33/R33)</f>
        <v/>
      </c>
      <c r="U33" s="4"/>
    </row>
    <row r="34" customFormat="false" ht="15" hidden="false" customHeight="false" outlineLevel="0" collapsed="false">
      <c r="A34" s="4"/>
      <c r="B34" s="5"/>
      <c r="C34" s="4"/>
      <c r="D34" s="6"/>
      <c r="E34" s="4"/>
      <c r="F34" s="4"/>
      <c r="G34" s="6"/>
      <c r="H34" s="4"/>
      <c r="I34" s="4"/>
      <c r="J34" s="7" t="str">
        <f aca="false">IF(B34="","",HYPERLINK("https://www.torn.com/profiles.php?XID="&amp;B34,"Profile"))</f>
        <v/>
      </c>
      <c r="K34" s="7" t="str">
        <f aca="false">IF(B34="","",HYPERLINK("https://www.torn.com/loader.php?sid=attack&amp;user2ID="&amp;B34,"Attack"))</f>
        <v/>
      </c>
      <c r="L34" s="8" t="str">
        <f aca="false">IF(B34="","",IF(COUNTIF('Mug Log'!$B$5:$B$1004,B34)=0,"",_xlfn.MAXIFS('Mug Log'!$A$5:$A$1004,'Mug Log'!$B$5:$B$1004,B34)))</f>
        <v/>
      </c>
      <c r="M34" s="9" t="str">
        <f aca="false">IF(L34="","",SUMIFS('Mug Log'!$D$5:$D$1004,'Mug Log'!$B$5:$B$1004,B34,'Mug Log'!$A$5:$A$1004,L34))</f>
        <v/>
      </c>
      <c r="N34" s="8" t="str">
        <f aca="false">IF(L34="","",L34+Settings!$B$7/24)</f>
        <v/>
      </c>
      <c r="O34" s="8" t="str">
        <f aca="false">IF(N34="","",N34+Settings!$B$6/24)</f>
        <v/>
      </c>
      <c r="P34" s="10" t="str">
        <f aca="false">IF(B34="","",IF(L34="","Never hit",IF(N34&lt;=Settings!$B$8,"READY","Cooldown")))</f>
        <v/>
      </c>
      <c r="Q34" s="11" t="str">
        <f aca="false">IF(P34="Cooldown",N34-Settings!$B$8,"")</f>
        <v/>
      </c>
      <c r="R34" s="12" t="str">
        <f aca="false">IF(B34="","",COUNTIF('Mug Log'!$B$5:$B$1004,B34))</f>
        <v/>
      </c>
      <c r="S34" s="9" t="str">
        <f aca="false">IF(B34="","",SUMIFS('Mug Log'!$D$5:$D$1004,'Mug Log'!$B$5:$B$1004,B34))</f>
        <v/>
      </c>
      <c r="T34" s="9" t="str">
        <f aca="false">IF(OR(B34="",R34=0),"",S34/R34)</f>
        <v/>
      </c>
      <c r="U34" s="4"/>
    </row>
    <row r="35" customFormat="false" ht="15" hidden="false" customHeight="false" outlineLevel="0" collapsed="false">
      <c r="A35" s="4"/>
      <c r="B35" s="5"/>
      <c r="C35" s="4"/>
      <c r="D35" s="6"/>
      <c r="E35" s="4"/>
      <c r="F35" s="4"/>
      <c r="G35" s="6"/>
      <c r="H35" s="4"/>
      <c r="I35" s="4"/>
      <c r="J35" s="7" t="str">
        <f aca="false">IF(B35="","",HYPERLINK("https://www.torn.com/profiles.php?XID="&amp;B35,"Profile"))</f>
        <v/>
      </c>
      <c r="K35" s="7" t="str">
        <f aca="false">IF(B35="","",HYPERLINK("https://www.torn.com/loader.php?sid=attack&amp;user2ID="&amp;B35,"Attack"))</f>
        <v/>
      </c>
      <c r="L35" s="8" t="str">
        <f aca="false">IF(B35="","",IF(COUNTIF('Mug Log'!$B$5:$B$1004,B35)=0,"",_xlfn.MAXIFS('Mug Log'!$A$5:$A$1004,'Mug Log'!$B$5:$B$1004,B35)))</f>
        <v/>
      </c>
      <c r="M35" s="9" t="str">
        <f aca="false">IF(L35="","",SUMIFS('Mug Log'!$D$5:$D$1004,'Mug Log'!$B$5:$B$1004,B35,'Mug Log'!$A$5:$A$1004,L35))</f>
        <v/>
      </c>
      <c r="N35" s="8" t="str">
        <f aca="false">IF(L35="","",L35+Settings!$B$7/24)</f>
        <v/>
      </c>
      <c r="O35" s="8" t="str">
        <f aca="false">IF(N35="","",N35+Settings!$B$6/24)</f>
        <v/>
      </c>
      <c r="P35" s="10" t="str">
        <f aca="false">IF(B35="","",IF(L35="","Never hit",IF(N35&lt;=Settings!$B$8,"READY","Cooldown")))</f>
        <v/>
      </c>
      <c r="Q35" s="11" t="str">
        <f aca="false">IF(P35="Cooldown",N35-Settings!$B$8,"")</f>
        <v/>
      </c>
      <c r="R35" s="12" t="str">
        <f aca="false">IF(B35="","",COUNTIF('Mug Log'!$B$5:$B$1004,B35))</f>
        <v/>
      </c>
      <c r="S35" s="9" t="str">
        <f aca="false">IF(B35="","",SUMIFS('Mug Log'!$D$5:$D$1004,'Mug Log'!$B$5:$B$1004,B35))</f>
        <v/>
      </c>
      <c r="T35" s="9" t="str">
        <f aca="false">IF(OR(B35="",R35=0),"",S35/R35)</f>
        <v/>
      </c>
      <c r="U35" s="4"/>
    </row>
    <row r="36" customFormat="false" ht="15" hidden="false" customHeight="false" outlineLevel="0" collapsed="false">
      <c r="A36" s="4"/>
      <c r="B36" s="5"/>
      <c r="C36" s="4"/>
      <c r="D36" s="6"/>
      <c r="E36" s="4"/>
      <c r="F36" s="4"/>
      <c r="G36" s="6"/>
      <c r="H36" s="4"/>
      <c r="I36" s="4"/>
      <c r="J36" s="7" t="str">
        <f aca="false">IF(B36="","",HYPERLINK("https://www.torn.com/profiles.php?XID="&amp;B36,"Profile"))</f>
        <v/>
      </c>
      <c r="K36" s="7" t="str">
        <f aca="false">IF(B36="","",HYPERLINK("https://www.torn.com/loader.php?sid=attack&amp;user2ID="&amp;B36,"Attack"))</f>
        <v/>
      </c>
      <c r="L36" s="8" t="str">
        <f aca="false">IF(B36="","",IF(COUNTIF('Mug Log'!$B$5:$B$1004,B36)=0,"",_xlfn.MAXIFS('Mug Log'!$A$5:$A$1004,'Mug Log'!$B$5:$B$1004,B36)))</f>
        <v/>
      </c>
      <c r="M36" s="9" t="str">
        <f aca="false">IF(L36="","",SUMIFS('Mug Log'!$D$5:$D$1004,'Mug Log'!$B$5:$B$1004,B36,'Mug Log'!$A$5:$A$1004,L36))</f>
        <v/>
      </c>
      <c r="N36" s="8" t="str">
        <f aca="false">IF(L36="","",L36+Settings!$B$7/24)</f>
        <v/>
      </c>
      <c r="O36" s="8" t="str">
        <f aca="false">IF(N36="","",N36+Settings!$B$6/24)</f>
        <v/>
      </c>
      <c r="P36" s="10" t="str">
        <f aca="false">IF(B36="","",IF(L36="","Never hit",IF(N36&lt;=Settings!$B$8,"READY","Cooldown")))</f>
        <v/>
      </c>
      <c r="Q36" s="11" t="str">
        <f aca="false">IF(P36="Cooldown",N36-Settings!$B$8,"")</f>
        <v/>
      </c>
      <c r="R36" s="12" t="str">
        <f aca="false">IF(B36="","",COUNTIF('Mug Log'!$B$5:$B$1004,B36))</f>
        <v/>
      </c>
      <c r="S36" s="9" t="str">
        <f aca="false">IF(B36="","",SUMIFS('Mug Log'!$D$5:$D$1004,'Mug Log'!$B$5:$B$1004,B36))</f>
        <v/>
      </c>
      <c r="T36" s="9" t="str">
        <f aca="false">IF(OR(B36="",R36=0),"",S36/R36)</f>
        <v/>
      </c>
      <c r="U36" s="4"/>
    </row>
    <row r="37" customFormat="false" ht="15" hidden="false" customHeight="false" outlineLevel="0" collapsed="false">
      <c r="A37" s="4"/>
      <c r="B37" s="5"/>
      <c r="C37" s="4"/>
      <c r="D37" s="6"/>
      <c r="E37" s="4"/>
      <c r="F37" s="4"/>
      <c r="G37" s="6"/>
      <c r="H37" s="4"/>
      <c r="I37" s="4"/>
      <c r="J37" s="7" t="str">
        <f aca="false">IF(B37="","",HYPERLINK("https://www.torn.com/profiles.php?XID="&amp;B37,"Profile"))</f>
        <v/>
      </c>
      <c r="K37" s="7" t="str">
        <f aca="false">IF(B37="","",HYPERLINK("https://www.torn.com/loader.php?sid=attack&amp;user2ID="&amp;B37,"Attack"))</f>
        <v/>
      </c>
      <c r="L37" s="8" t="str">
        <f aca="false">IF(B37="","",IF(COUNTIF('Mug Log'!$B$5:$B$1004,B37)=0,"",_xlfn.MAXIFS('Mug Log'!$A$5:$A$1004,'Mug Log'!$B$5:$B$1004,B37)))</f>
        <v/>
      </c>
      <c r="M37" s="9" t="str">
        <f aca="false">IF(L37="","",SUMIFS('Mug Log'!$D$5:$D$1004,'Mug Log'!$B$5:$B$1004,B37,'Mug Log'!$A$5:$A$1004,L37))</f>
        <v/>
      </c>
      <c r="N37" s="8" t="str">
        <f aca="false">IF(L37="","",L37+Settings!$B$7/24)</f>
        <v/>
      </c>
      <c r="O37" s="8" t="str">
        <f aca="false">IF(N37="","",N37+Settings!$B$6/24)</f>
        <v/>
      </c>
      <c r="P37" s="10" t="str">
        <f aca="false">IF(B37="","",IF(L37="","Never hit",IF(N37&lt;=Settings!$B$8,"READY","Cooldown")))</f>
        <v/>
      </c>
      <c r="Q37" s="11" t="str">
        <f aca="false">IF(P37="Cooldown",N37-Settings!$B$8,"")</f>
        <v/>
      </c>
      <c r="R37" s="12" t="str">
        <f aca="false">IF(B37="","",COUNTIF('Mug Log'!$B$5:$B$1004,B37))</f>
        <v/>
      </c>
      <c r="S37" s="9" t="str">
        <f aca="false">IF(B37="","",SUMIFS('Mug Log'!$D$5:$D$1004,'Mug Log'!$B$5:$B$1004,B37))</f>
        <v/>
      </c>
      <c r="T37" s="9" t="str">
        <f aca="false">IF(OR(B37="",R37=0),"",S37/R37)</f>
        <v/>
      </c>
      <c r="U37" s="4"/>
    </row>
    <row r="38" customFormat="false" ht="15" hidden="false" customHeight="false" outlineLevel="0" collapsed="false">
      <c r="A38" s="4"/>
      <c r="B38" s="5"/>
      <c r="C38" s="4"/>
      <c r="D38" s="6"/>
      <c r="E38" s="4"/>
      <c r="F38" s="4"/>
      <c r="G38" s="6"/>
      <c r="H38" s="4"/>
      <c r="I38" s="4"/>
      <c r="J38" s="7" t="str">
        <f aca="false">IF(B38="","",HYPERLINK("https://www.torn.com/profiles.php?XID="&amp;B38,"Profile"))</f>
        <v/>
      </c>
      <c r="K38" s="7" t="str">
        <f aca="false">IF(B38="","",HYPERLINK("https://www.torn.com/loader.php?sid=attack&amp;user2ID="&amp;B38,"Attack"))</f>
        <v/>
      </c>
      <c r="L38" s="8" t="str">
        <f aca="false">IF(B38="","",IF(COUNTIF('Mug Log'!$B$5:$B$1004,B38)=0,"",_xlfn.MAXIFS('Mug Log'!$A$5:$A$1004,'Mug Log'!$B$5:$B$1004,B38)))</f>
        <v/>
      </c>
      <c r="M38" s="9" t="str">
        <f aca="false">IF(L38="","",SUMIFS('Mug Log'!$D$5:$D$1004,'Mug Log'!$B$5:$B$1004,B38,'Mug Log'!$A$5:$A$1004,L38))</f>
        <v/>
      </c>
      <c r="N38" s="8" t="str">
        <f aca="false">IF(L38="","",L38+Settings!$B$7/24)</f>
        <v/>
      </c>
      <c r="O38" s="8" t="str">
        <f aca="false">IF(N38="","",N38+Settings!$B$6/24)</f>
        <v/>
      </c>
      <c r="P38" s="10" t="str">
        <f aca="false">IF(B38="","",IF(L38="","Never hit",IF(N38&lt;=Settings!$B$8,"READY","Cooldown")))</f>
        <v/>
      </c>
      <c r="Q38" s="11" t="str">
        <f aca="false">IF(P38="Cooldown",N38-Settings!$B$8,"")</f>
        <v/>
      </c>
      <c r="R38" s="12" t="str">
        <f aca="false">IF(B38="","",COUNTIF('Mug Log'!$B$5:$B$1004,B38))</f>
        <v/>
      </c>
      <c r="S38" s="9" t="str">
        <f aca="false">IF(B38="","",SUMIFS('Mug Log'!$D$5:$D$1004,'Mug Log'!$B$5:$B$1004,B38))</f>
        <v/>
      </c>
      <c r="T38" s="9" t="str">
        <f aca="false">IF(OR(B38="",R38=0),"",S38/R38)</f>
        <v/>
      </c>
      <c r="U38" s="4"/>
    </row>
    <row r="39" customFormat="false" ht="15" hidden="false" customHeight="false" outlineLevel="0" collapsed="false">
      <c r="A39" s="4"/>
      <c r="B39" s="5"/>
      <c r="C39" s="4"/>
      <c r="D39" s="6"/>
      <c r="E39" s="4"/>
      <c r="F39" s="4"/>
      <c r="G39" s="6"/>
      <c r="H39" s="4"/>
      <c r="I39" s="4"/>
      <c r="J39" s="7" t="str">
        <f aca="false">IF(B39="","",HYPERLINK("https://www.torn.com/profiles.php?XID="&amp;B39,"Profile"))</f>
        <v/>
      </c>
      <c r="K39" s="7" t="str">
        <f aca="false">IF(B39="","",HYPERLINK("https://www.torn.com/loader.php?sid=attack&amp;user2ID="&amp;B39,"Attack"))</f>
        <v/>
      </c>
      <c r="L39" s="8" t="str">
        <f aca="false">IF(B39="","",IF(COUNTIF('Mug Log'!$B$5:$B$1004,B39)=0,"",_xlfn.MAXIFS('Mug Log'!$A$5:$A$1004,'Mug Log'!$B$5:$B$1004,B39)))</f>
        <v/>
      </c>
      <c r="M39" s="9" t="str">
        <f aca="false">IF(L39="","",SUMIFS('Mug Log'!$D$5:$D$1004,'Mug Log'!$B$5:$B$1004,B39,'Mug Log'!$A$5:$A$1004,L39))</f>
        <v/>
      </c>
      <c r="N39" s="8" t="str">
        <f aca="false">IF(L39="","",L39+Settings!$B$7/24)</f>
        <v/>
      </c>
      <c r="O39" s="8" t="str">
        <f aca="false">IF(N39="","",N39+Settings!$B$6/24)</f>
        <v/>
      </c>
      <c r="P39" s="10" t="str">
        <f aca="false">IF(B39="","",IF(L39="","Never hit",IF(N39&lt;=Settings!$B$8,"READY","Cooldown")))</f>
        <v/>
      </c>
      <c r="Q39" s="11" t="str">
        <f aca="false">IF(P39="Cooldown",N39-Settings!$B$8,"")</f>
        <v/>
      </c>
      <c r="R39" s="12" t="str">
        <f aca="false">IF(B39="","",COUNTIF('Mug Log'!$B$5:$B$1004,B39))</f>
        <v/>
      </c>
      <c r="S39" s="9" t="str">
        <f aca="false">IF(B39="","",SUMIFS('Mug Log'!$D$5:$D$1004,'Mug Log'!$B$5:$B$1004,B39))</f>
        <v/>
      </c>
      <c r="T39" s="9" t="str">
        <f aca="false">IF(OR(B39="",R39=0),"",S39/R39)</f>
        <v/>
      </c>
      <c r="U39" s="4"/>
    </row>
    <row r="40" customFormat="false" ht="15" hidden="false" customHeight="false" outlineLevel="0" collapsed="false">
      <c r="A40" s="4"/>
      <c r="B40" s="5"/>
      <c r="C40" s="4"/>
      <c r="D40" s="6"/>
      <c r="E40" s="4"/>
      <c r="F40" s="4"/>
      <c r="G40" s="6"/>
      <c r="H40" s="4"/>
      <c r="I40" s="4"/>
      <c r="J40" s="7" t="str">
        <f aca="false">IF(B40="","",HYPERLINK("https://www.torn.com/profiles.php?XID="&amp;B40,"Profile"))</f>
        <v/>
      </c>
      <c r="K40" s="7" t="str">
        <f aca="false">IF(B40="","",HYPERLINK("https://www.torn.com/loader.php?sid=attack&amp;user2ID="&amp;B40,"Attack"))</f>
        <v/>
      </c>
      <c r="L40" s="8" t="str">
        <f aca="false">IF(B40="","",IF(COUNTIF('Mug Log'!$B$5:$B$1004,B40)=0,"",_xlfn.MAXIFS('Mug Log'!$A$5:$A$1004,'Mug Log'!$B$5:$B$1004,B40)))</f>
        <v/>
      </c>
      <c r="M40" s="9" t="str">
        <f aca="false">IF(L40="","",SUMIFS('Mug Log'!$D$5:$D$1004,'Mug Log'!$B$5:$B$1004,B40,'Mug Log'!$A$5:$A$1004,L40))</f>
        <v/>
      </c>
      <c r="N40" s="8" t="str">
        <f aca="false">IF(L40="","",L40+Settings!$B$7/24)</f>
        <v/>
      </c>
      <c r="O40" s="8" t="str">
        <f aca="false">IF(N40="","",N40+Settings!$B$6/24)</f>
        <v/>
      </c>
      <c r="P40" s="10" t="str">
        <f aca="false">IF(B40="","",IF(L40="","Never hit",IF(N40&lt;=Settings!$B$8,"READY","Cooldown")))</f>
        <v/>
      </c>
      <c r="Q40" s="11" t="str">
        <f aca="false">IF(P40="Cooldown",N40-Settings!$B$8,"")</f>
        <v/>
      </c>
      <c r="R40" s="12" t="str">
        <f aca="false">IF(B40="","",COUNTIF('Mug Log'!$B$5:$B$1004,B40))</f>
        <v/>
      </c>
      <c r="S40" s="9" t="str">
        <f aca="false">IF(B40="","",SUMIFS('Mug Log'!$D$5:$D$1004,'Mug Log'!$B$5:$B$1004,B40))</f>
        <v/>
      </c>
      <c r="T40" s="9" t="str">
        <f aca="false">IF(OR(B40="",R40=0),"",S40/R40)</f>
        <v/>
      </c>
      <c r="U40" s="4"/>
    </row>
    <row r="41" customFormat="false" ht="15" hidden="false" customHeight="false" outlineLevel="0" collapsed="false">
      <c r="A41" s="4"/>
      <c r="B41" s="5"/>
      <c r="C41" s="4"/>
      <c r="D41" s="6"/>
      <c r="E41" s="4"/>
      <c r="F41" s="4"/>
      <c r="G41" s="6"/>
      <c r="H41" s="4"/>
      <c r="I41" s="4"/>
      <c r="J41" s="7" t="str">
        <f aca="false">IF(B41="","",HYPERLINK("https://www.torn.com/profiles.php?XID="&amp;B41,"Profile"))</f>
        <v/>
      </c>
      <c r="K41" s="7" t="str">
        <f aca="false">IF(B41="","",HYPERLINK("https://www.torn.com/loader.php?sid=attack&amp;user2ID="&amp;B41,"Attack"))</f>
        <v/>
      </c>
      <c r="L41" s="8" t="str">
        <f aca="false">IF(B41="","",IF(COUNTIF('Mug Log'!$B$5:$B$1004,B41)=0,"",_xlfn.MAXIFS('Mug Log'!$A$5:$A$1004,'Mug Log'!$B$5:$B$1004,B41)))</f>
        <v/>
      </c>
      <c r="M41" s="9" t="str">
        <f aca="false">IF(L41="","",SUMIFS('Mug Log'!$D$5:$D$1004,'Mug Log'!$B$5:$B$1004,B41,'Mug Log'!$A$5:$A$1004,L41))</f>
        <v/>
      </c>
      <c r="N41" s="8" t="str">
        <f aca="false">IF(L41="","",L41+Settings!$B$7/24)</f>
        <v/>
      </c>
      <c r="O41" s="8" t="str">
        <f aca="false">IF(N41="","",N41+Settings!$B$6/24)</f>
        <v/>
      </c>
      <c r="P41" s="10" t="str">
        <f aca="false">IF(B41="","",IF(L41="","Never hit",IF(N41&lt;=Settings!$B$8,"READY","Cooldown")))</f>
        <v/>
      </c>
      <c r="Q41" s="11" t="str">
        <f aca="false">IF(P41="Cooldown",N41-Settings!$B$8,"")</f>
        <v/>
      </c>
      <c r="R41" s="12" t="str">
        <f aca="false">IF(B41="","",COUNTIF('Mug Log'!$B$5:$B$1004,B41))</f>
        <v/>
      </c>
      <c r="S41" s="9" t="str">
        <f aca="false">IF(B41="","",SUMIFS('Mug Log'!$D$5:$D$1004,'Mug Log'!$B$5:$B$1004,B41))</f>
        <v/>
      </c>
      <c r="T41" s="9" t="str">
        <f aca="false">IF(OR(B41="",R41=0),"",S41/R41)</f>
        <v/>
      </c>
      <c r="U41" s="4"/>
    </row>
    <row r="42" customFormat="false" ht="15" hidden="false" customHeight="false" outlineLevel="0" collapsed="false">
      <c r="A42" s="4"/>
      <c r="B42" s="5"/>
      <c r="C42" s="4"/>
      <c r="D42" s="6"/>
      <c r="E42" s="4"/>
      <c r="F42" s="4"/>
      <c r="G42" s="6"/>
      <c r="H42" s="4"/>
      <c r="I42" s="4"/>
      <c r="J42" s="7" t="str">
        <f aca="false">IF(B42="","",HYPERLINK("https://www.torn.com/profiles.php?XID="&amp;B42,"Profile"))</f>
        <v/>
      </c>
      <c r="K42" s="7" t="str">
        <f aca="false">IF(B42="","",HYPERLINK("https://www.torn.com/loader.php?sid=attack&amp;user2ID="&amp;B42,"Attack"))</f>
        <v/>
      </c>
      <c r="L42" s="8" t="str">
        <f aca="false">IF(B42="","",IF(COUNTIF('Mug Log'!$B$5:$B$1004,B42)=0,"",_xlfn.MAXIFS('Mug Log'!$A$5:$A$1004,'Mug Log'!$B$5:$B$1004,B42)))</f>
        <v/>
      </c>
      <c r="M42" s="9" t="str">
        <f aca="false">IF(L42="","",SUMIFS('Mug Log'!$D$5:$D$1004,'Mug Log'!$B$5:$B$1004,B42,'Mug Log'!$A$5:$A$1004,L42))</f>
        <v/>
      </c>
      <c r="N42" s="8" t="str">
        <f aca="false">IF(L42="","",L42+Settings!$B$7/24)</f>
        <v/>
      </c>
      <c r="O42" s="8" t="str">
        <f aca="false">IF(N42="","",N42+Settings!$B$6/24)</f>
        <v/>
      </c>
      <c r="P42" s="10" t="str">
        <f aca="false">IF(B42="","",IF(L42="","Never hit",IF(N42&lt;=Settings!$B$8,"READY","Cooldown")))</f>
        <v/>
      </c>
      <c r="Q42" s="11" t="str">
        <f aca="false">IF(P42="Cooldown",N42-Settings!$B$8,"")</f>
        <v/>
      </c>
      <c r="R42" s="12" t="str">
        <f aca="false">IF(B42="","",COUNTIF('Mug Log'!$B$5:$B$1004,B42))</f>
        <v/>
      </c>
      <c r="S42" s="9" t="str">
        <f aca="false">IF(B42="","",SUMIFS('Mug Log'!$D$5:$D$1004,'Mug Log'!$B$5:$B$1004,B42))</f>
        <v/>
      </c>
      <c r="T42" s="9" t="str">
        <f aca="false">IF(OR(B42="",R42=0),"",S42/R42)</f>
        <v/>
      </c>
      <c r="U42" s="4"/>
    </row>
    <row r="43" customFormat="false" ht="15" hidden="false" customHeight="false" outlineLevel="0" collapsed="false">
      <c r="A43" s="4"/>
      <c r="B43" s="5"/>
      <c r="C43" s="4"/>
      <c r="D43" s="6"/>
      <c r="E43" s="4"/>
      <c r="F43" s="4"/>
      <c r="G43" s="6"/>
      <c r="H43" s="4"/>
      <c r="I43" s="4"/>
      <c r="J43" s="7" t="str">
        <f aca="false">IF(B43="","",HYPERLINK("https://www.torn.com/profiles.php?XID="&amp;B43,"Profile"))</f>
        <v/>
      </c>
      <c r="K43" s="7" t="str">
        <f aca="false">IF(B43="","",HYPERLINK("https://www.torn.com/loader.php?sid=attack&amp;user2ID="&amp;B43,"Attack"))</f>
        <v/>
      </c>
      <c r="L43" s="8" t="str">
        <f aca="false">IF(B43="","",IF(COUNTIF('Mug Log'!$B$5:$B$1004,B43)=0,"",_xlfn.MAXIFS('Mug Log'!$A$5:$A$1004,'Mug Log'!$B$5:$B$1004,B43)))</f>
        <v/>
      </c>
      <c r="M43" s="9" t="str">
        <f aca="false">IF(L43="","",SUMIFS('Mug Log'!$D$5:$D$1004,'Mug Log'!$B$5:$B$1004,B43,'Mug Log'!$A$5:$A$1004,L43))</f>
        <v/>
      </c>
      <c r="N43" s="8" t="str">
        <f aca="false">IF(L43="","",L43+Settings!$B$7/24)</f>
        <v/>
      </c>
      <c r="O43" s="8" t="str">
        <f aca="false">IF(N43="","",N43+Settings!$B$6/24)</f>
        <v/>
      </c>
      <c r="P43" s="10" t="str">
        <f aca="false">IF(B43="","",IF(L43="","Never hit",IF(N43&lt;=Settings!$B$8,"READY","Cooldown")))</f>
        <v/>
      </c>
      <c r="Q43" s="11" t="str">
        <f aca="false">IF(P43="Cooldown",N43-Settings!$B$8,"")</f>
        <v/>
      </c>
      <c r="R43" s="12" t="str">
        <f aca="false">IF(B43="","",COUNTIF('Mug Log'!$B$5:$B$1004,B43))</f>
        <v/>
      </c>
      <c r="S43" s="9" t="str">
        <f aca="false">IF(B43="","",SUMIFS('Mug Log'!$D$5:$D$1004,'Mug Log'!$B$5:$B$1004,B43))</f>
        <v/>
      </c>
      <c r="T43" s="9" t="str">
        <f aca="false">IF(OR(B43="",R43=0),"",S43/R43)</f>
        <v/>
      </c>
      <c r="U43" s="4"/>
    </row>
    <row r="44" customFormat="false" ht="15" hidden="false" customHeight="false" outlineLevel="0" collapsed="false">
      <c r="A44" s="4"/>
      <c r="B44" s="5"/>
      <c r="C44" s="4"/>
      <c r="D44" s="6"/>
      <c r="E44" s="4"/>
      <c r="F44" s="4"/>
      <c r="G44" s="6"/>
      <c r="H44" s="4"/>
      <c r="I44" s="4"/>
      <c r="J44" s="7" t="str">
        <f aca="false">IF(B44="","",HYPERLINK("https://www.torn.com/profiles.php?XID="&amp;B44,"Profile"))</f>
        <v/>
      </c>
      <c r="K44" s="7" t="str">
        <f aca="false">IF(B44="","",HYPERLINK("https://www.torn.com/loader.php?sid=attack&amp;user2ID="&amp;B44,"Attack"))</f>
        <v/>
      </c>
      <c r="L44" s="8" t="str">
        <f aca="false">IF(B44="","",IF(COUNTIF('Mug Log'!$B$5:$B$1004,B44)=0,"",_xlfn.MAXIFS('Mug Log'!$A$5:$A$1004,'Mug Log'!$B$5:$B$1004,B44)))</f>
        <v/>
      </c>
      <c r="M44" s="9" t="str">
        <f aca="false">IF(L44="","",SUMIFS('Mug Log'!$D$5:$D$1004,'Mug Log'!$B$5:$B$1004,B44,'Mug Log'!$A$5:$A$1004,L44))</f>
        <v/>
      </c>
      <c r="N44" s="8" t="str">
        <f aca="false">IF(L44="","",L44+Settings!$B$7/24)</f>
        <v/>
      </c>
      <c r="O44" s="8" t="str">
        <f aca="false">IF(N44="","",N44+Settings!$B$6/24)</f>
        <v/>
      </c>
      <c r="P44" s="10" t="str">
        <f aca="false">IF(B44="","",IF(L44="","Never hit",IF(N44&lt;=Settings!$B$8,"READY","Cooldown")))</f>
        <v/>
      </c>
      <c r="Q44" s="11" t="str">
        <f aca="false">IF(P44="Cooldown",N44-Settings!$B$8,"")</f>
        <v/>
      </c>
      <c r="R44" s="12" t="str">
        <f aca="false">IF(B44="","",COUNTIF('Mug Log'!$B$5:$B$1004,B44))</f>
        <v/>
      </c>
      <c r="S44" s="9" t="str">
        <f aca="false">IF(B44="","",SUMIFS('Mug Log'!$D$5:$D$1004,'Mug Log'!$B$5:$B$1004,B44))</f>
        <v/>
      </c>
      <c r="T44" s="9" t="str">
        <f aca="false">IF(OR(B44="",R44=0),"",S44/R44)</f>
        <v/>
      </c>
      <c r="U44" s="4"/>
    </row>
    <row r="45" customFormat="false" ht="15" hidden="false" customHeight="false" outlineLevel="0" collapsed="false">
      <c r="A45" s="4"/>
      <c r="B45" s="5"/>
      <c r="C45" s="4"/>
      <c r="D45" s="6"/>
      <c r="E45" s="4"/>
      <c r="F45" s="4"/>
      <c r="G45" s="6"/>
      <c r="H45" s="4"/>
      <c r="I45" s="4"/>
      <c r="J45" s="7" t="str">
        <f aca="false">IF(B45="","",HYPERLINK("https://www.torn.com/profiles.php?XID="&amp;B45,"Profile"))</f>
        <v/>
      </c>
      <c r="K45" s="7" t="str">
        <f aca="false">IF(B45="","",HYPERLINK("https://www.torn.com/loader.php?sid=attack&amp;user2ID="&amp;B45,"Attack"))</f>
        <v/>
      </c>
      <c r="L45" s="8" t="str">
        <f aca="false">IF(B45="","",IF(COUNTIF('Mug Log'!$B$5:$B$1004,B45)=0,"",_xlfn.MAXIFS('Mug Log'!$A$5:$A$1004,'Mug Log'!$B$5:$B$1004,B45)))</f>
        <v/>
      </c>
      <c r="M45" s="9" t="str">
        <f aca="false">IF(L45="","",SUMIFS('Mug Log'!$D$5:$D$1004,'Mug Log'!$B$5:$B$1004,B45,'Mug Log'!$A$5:$A$1004,L45))</f>
        <v/>
      </c>
      <c r="N45" s="8" t="str">
        <f aca="false">IF(L45="","",L45+Settings!$B$7/24)</f>
        <v/>
      </c>
      <c r="O45" s="8" t="str">
        <f aca="false">IF(N45="","",N45+Settings!$B$6/24)</f>
        <v/>
      </c>
      <c r="P45" s="10" t="str">
        <f aca="false">IF(B45="","",IF(L45="","Never hit",IF(N45&lt;=Settings!$B$8,"READY","Cooldown")))</f>
        <v/>
      </c>
      <c r="Q45" s="11" t="str">
        <f aca="false">IF(P45="Cooldown",N45-Settings!$B$8,"")</f>
        <v/>
      </c>
      <c r="R45" s="12" t="str">
        <f aca="false">IF(B45="","",COUNTIF('Mug Log'!$B$5:$B$1004,B45))</f>
        <v/>
      </c>
      <c r="S45" s="9" t="str">
        <f aca="false">IF(B45="","",SUMIFS('Mug Log'!$D$5:$D$1004,'Mug Log'!$B$5:$B$1004,B45))</f>
        <v/>
      </c>
      <c r="T45" s="9" t="str">
        <f aca="false">IF(OR(B45="",R45=0),"",S45/R45)</f>
        <v/>
      </c>
      <c r="U45" s="4"/>
    </row>
    <row r="46" customFormat="false" ht="15" hidden="false" customHeight="false" outlineLevel="0" collapsed="false">
      <c r="A46" s="4"/>
      <c r="B46" s="5"/>
      <c r="C46" s="4"/>
      <c r="D46" s="6"/>
      <c r="E46" s="4"/>
      <c r="F46" s="4"/>
      <c r="G46" s="6"/>
      <c r="H46" s="4"/>
      <c r="I46" s="4"/>
      <c r="J46" s="7" t="str">
        <f aca="false">IF(B46="","",HYPERLINK("https://www.torn.com/profiles.php?XID="&amp;B46,"Profile"))</f>
        <v/>
      </c>
      <c r="K46" s="7" t="str">
        <f aca="false">IF(B46="","",HYPERLINK("https://www.torn.com/loader.php?sid=attack&amp;user2ID="&amp;B46,"Attack"))</f>
        <v/>
      </c>
      <c r="L46" s="8" t="str">
        <f aca="false">IF(B46="","",IF(COUNTIF('Mug Log'!$B$5:$B$1004,B46)=0,"",_xlfn.MAXIFS('Mug Log'!$A$5:$A$1004,'Mug Log'!$B$5:$B$1004,B46)))</f>
        <v/>
      </c>
      <c r="M46" s="9" t="str">
        <f aca="false">IF(L46="","",SUMIFS('Mug Log'!$D$5:$D$1004,'Mug Log'!$B$5:$B$1004,B46,'Mug Log'!$A$5:$A$1004,L46))</f>
        <v/>
      </c>
      <c r="N46" s="8" t="str">
        <f aca="false">IF(L46="","",L46+Settings!$B$7/24)</f>
        <v/>
      </c>
      <c r="O46" s="8" t="str">
        <f aca="false">IF(N46="","",N46+Settings!$B$6/24)</f>
        <v/>
      </c>
      <c r="P46" s="10" t="str">
        <f aca="false">IF(B46="","",IF(L46="","Never hit",IF(N46&lt;=Settings!$B$8,"READY","Cooldown")))</f>
        <v/>
      </c>
      <c r="Q46" s="11" t="str">
        <f aca="false">IF(P46="Cooldown",N46-Settings!$B$8,"")</f>
        <v/>
      </c>
      <c r="R46" s="12" t="str">
        <f aca="false">IF(B46="","",COUNTIF('Mug Log'!$B$5:$B$1004,B46))</f>
        <v/>
      </c>
      <c r="S46" s="9" t="str">
        <f aca="false">IF(B46="","",SUMIFS('Mug Log'!$D$5:$D$1004,'Mug Log'!$B$5:$B$1004,B46))</f>
        <v/>
      </c>
      <c r="T46" s="9" t="str">
        <f aca="false">IF(OR(B46="",R46=0),"",S46/R46)</f>
        <v/>
      </c>
      <c r="U46" s="4"/>
    </row>
    <row r="47" customFormat="false" ht="15" hidden="false" customHeight="false" outlineLevel="0" collapsed="false">
      <c r="A47" s="4"/>
      <c r="B47" s="5"/>
      <c r="C47" s="4"/>
      <c r="D47" s="6"/>
      <c r="E47" s="4"/>
      <c r="F47" s="4"/>
      <c r="G47" s="6"/>
      <c r="H47" s="4"/>
      <c r="I47" s="4"/>
      <c r="J47" s="7" t="str">
        <f aca="false">IF(B47="","",HYPERLINK("https://www.torn.com/profiles.php?XID="&amp;B47,"Profile"))</f>
        <v/>
      </c>
      <c r="K47" s="7" t="str">
        <f aca="false">IF(B47="","",HYPERLINK("https://www.torn.com/loader.php?sid=attack&amp;user2ID="&amp;B47,"Attack"))</f>
        <v/>
      </c>
      <c r="L47" s="8" t="str">
        <f aca="false">IF(B47="","",IF(COUNTIF('Mug Log'!$B$5:$B$1004,B47)=0,"",_xlfn.MAXIFS('Mug Log'!$A$5:$A$1004,'Mug Log'!$B$5:$B$1004,B47)))</f>
        <v/>
      </c>
      <c r="M47" s="9" t="str">
        <f aca="false">IF(L47="","",SUMIFS('Mug Log'!$D$5:$D$1004,'Mug Log'!$B$5:$B$1004,B47,'Mug Log'!$A$5:$A$1004,L47))</f>
        <v/>
      </c>
      <c r="N47" s="8" t="str">
        <f aca="false">IF(L47="","",L47+Settings!$B$7/24)</f>
        <v/>
      </c>
      <c r="O47" s="8" t="str">
        <f aca="false">IF(N47="","",N47+Settings!$B$6/24)</f>
        <v/>
      </c>
      <c r="P47" s="10" t="str">
        <f aca="false">IF(B47="","",IF(L47="","Never hit",IF(N47&lt;=Settings!$B$8,"READY","Cooldown")))</f>
        <v/>
      </c>
      <c r="Q47" s="11" t="str">
        <f aca="false">IF(P47="Cooldown",N47-Settings!$B$8,"")</f>
        <v/>
      </c>
      <c r="R47" s="12" t="str">
        <f aca="false">IF(B47="","",COUNTIF('Mug Log'!$B$5:$B$1004,B47))</f>
        <v/>
      </c>
      <c r="S47" s="9" t="str">
        <f aca="false">IF(B47="","",SUMIFS('Mug Log'!$D$5:$D$1004,'Mug Log'!$B$5:$B$1004,B47))</f>
        <v/>
      </c>
      <c r="T47" s="9" t="str">
        <f aca="false">IF(OR(B47="",R47=0),"",S47/R47)</f>
        <v/>
      </c>
      <c r="U47" s="4"/>
    </row>
    <row r="48" customFormat="false" ht="15" hidden="false" customHeight="false" outlineLevel="0" collapsed="false">
      <c r="A48" s="4"/>
      <c r="B48" s="5"/>
      <c r="C48" s="4"/>
      <c r="D48" s="6"/>
      <c r="E48" s="4"/>
      <c r="F48" s="4"/>
      <c r="G48" s="6"/>
      <c r="H48" s="4"/>
      <c r="I48" s="4"/>
      <c r="J48" s="7" t="str">
        <f aca="false">IF(B48="","",HYPERLINK("https://www.torn.com/profiles.php?XID="&amp;B48,"Profile"))</f>
        <v/>
      </c>
      <c r="K48" s="7" t="str">
        <f aca="false">IF(B48="","",HYPERLINK("https://www.torn.com/loader.php?sid=attack&amp;user2ID="&amp;B48,"Attack"))</f>
        <v/>
      </c>
      <c r="L48" s="8" t="str">
        <f aca="false">IF(B48="","",IF(COUNTIF('Mug Log'!$B$5:$B$1004,B48)=0,"",_xlfn.MAXIFS('Mug Log'!$A$5:$A$1004,'Mug Log'!$B$5:$B$1004,B48)))</f>
        <v/>
      </c>
      <c r="M48" s="9" t="str">
        <f aca="false">IF(L48="","",SUMIFS('Mug Log'!$D$5:$D$1004,'Mug Log'!$B$5:$B$1004,B48,'Mug Log'!$A$5:$A$1004,L48))</f>
        <v/>
      </c>
      <c r="N48" s="8" t="str">
        <f aca="false">IF(L48="","",L48+Settings!$B$7/24)</f>
        <v/>
      </c>
      <c r="O48" s="8" t="str">
        <f aca="false">IF(N48="","",N48+Settings!$B$6/24)</f>
        <v/>
      </c>
      <c r="P48" s="10" t="str">
        <f aca="false">IF(B48="","",IF(L48="","Never hit",IF(N48&lt;=Settings!$B$8,"READY","Cooldown")))</f>
        <v/>
      </c>
      <c r="Q48" s="11" t="str">
        <f aca="false">IF(P48="Cooldown",N48-Settings!$B$8,"")</f>
        <v/>
      </c>
      <c r="R48" s="12" t="str">
        <f aca="false">IF(B48="","",COUNTIF('Mug Log'!$B$5:$B$1004,B48))</f>
        <v/>
      </c>
      <c r="S48" s="9" t="str">
        <f aca="false">IF(B48="","",SUMIFS('Mug Log'!$D$5:$D$1004,'Mug Log'!$B$5:$B$1004,B48))</f>
        <v/>
      </c>
      <c r="T48" s="9" t="str">
        <f aca="false">IF(OR(B48="",R48=0),"",S48/R48)</f>
        <v/>
      </c>
      <c r="U48" s="4"/>
    </row>
    <row r="49" customFormat="false" ht="15" hidden="false" customHeight="false" outlineLevel="0" collapsed="false">
      <c r="A49" s="4"/>
      <c r="B49" s="5"/>
      <c r="C49" s="4"/>
      <c r="D49" s="6"/>
      <c r="E49" s="4"/>
      <c r="F49" s="4"/>
      <c r="G49" s="6"/>
      <c r="H49" s="4"/>
      <c r="I49" s="4"/>
      <c r="J49" s="7" t="str">
        <f aca="false">IF(B49="","",HYPERLINK("https://www.torn.com/profiles.php?XID="&amp;B49,"Profile"))</f>
        <v/>
      </c>
      <c r="K49" s="7" t="str">
        <f aca="false">IF(B49="","",HYPERLINK("https://www.torn.com/loader.php?sid=attack&amp;user2ID="&amp;B49,"Attack"))</f>
        <v/>
      </c>
      <c r="L49" s="8" t="str">
        <f aca="false">IF(B49="","",IF(COUNTIF('Mug Log'!$B$5:$B$1004,B49)=0,"",_xlfn.MAXIFS('Mug Log'!$A$5:$A$1004,'Mug Log'!$B$5:$B$1004,B49)))</f>
        <v/>
      </c>
      <c r="M49" s="9" t="str">
        <f aca="false">IF(L49="","",SUMIFS('Mug Log'!$D$5:$D$1004,'Mug Log'!$B$5:$B$1004,B49,'Mug Log'!$A$5:$A$1004,L49))</f>
        <v/>
      </c>
      <c r="N49" s="8" t="str">
        <f aca="false">IF(L49="","",L49+Settings!$B$7/24)</f>
        <v/>
      </c>
      <c r="O49" s="8" t="str">
        <f aca="false">IF(N49="","",N49+Settings!$B$6/24)</f>
        <v/>
      </c>
      <c r="P49" s="10" t="str">
        <f aca="false">IF(B49="","",IF(L49="","Never hit",IF(N49&lt;=Settings!$B$8,"READY","Cooldown")))</f>
        <v/>
      </c>
      <c r="Q49" s="11" t="str">
        <f aca="false">IF(P49="Cooldown",N49-Settings!$B$8,"")</f>
        <v/>
      </c>
      <c r="R49" s="12" t="str">
        <f aca="false">IF(B49="","",COUNTIF('Mug Log'!$B$5:$B$1004,B49))</f>
        <v/>
      </c>
      <c r="S49" s="9" t="str">
        <f aca="false">IF(B49="","",SUMIFS('Mug Log'!$D$5:$D$1004,'Mug Log'!$B$5:$B$1004,B49))</f>
        <v/>
      </c>
      <c r="T49" s="9" t="str">
        <f aca="false">IF(OR(B49="",R49=0),"",S49/R49)</f>
        <v/>
      </c>
      <c r="U49" s="4"/>
    </row>
    <row r="50" customFormat="false" ht="15" hidden="false" customHeight="false" outlineLevel="0" collapsed="false">
      <c r="A50" s="4"/>
      <c r="B50" s="5"/>
      <c r="C50" s="4"/>
      <c r="D50" s="6"/>
      <c r="E50" s="4"/>
      <c r="F50" s="4"/>
      <c r="G50" s="6"/>
      <c r="H50" s="4"/>
      <c r="I50" s="4"/>
      <c r="J50" s="7" t="str">
        <f aca="false">IF(B50="","",HYPERLINK("https://www.torn.com/profiles.php?XID="&amp;B50,"Profile"))</f>
        <v/>
      </c>
      <c r="K50" s="7" t="str">
        <f aca="false">IF(B50="","",HYPERLINK("https://www.torn.com/loader.php?sid=attack&amp;user2ID="&amp;B50,"Attack"))</f>
        <v/>
      </c>
      <c r="L50" s="8" t="str">
        <f aca="false">IF(B50="","",IF(COUNTIF('Mug Log'!$B$5:$B$1004,B50)=0,"",_xlfn.MAXIFS('Mug Log'!$A$5:$A$1004,'Mug Log'!$B$5:$B$1004,B50)))</f>
        <v/>
      </c>
      <c r="M50" s="9" t="str">
        <f aca="false">IF(L50="","",SUMIFS('Mug Log'!$D$5:$D$1004,'Mug Log'!$B$5:$B$1004,B50,'Mug Log'!$A$5:$A$1004,L50))</f>
        <v/>
      </c>
      <c r="N50" s="8" t="str">
        <f aca="false">IF(L50="","",L50+Settings!$B$7/24)</f>
        <v/>
      </c>
      <c r="O50" s="8" t="str">
        <f aca="false">IF(N50="","",N50+Settings!$B$6/24)</f>
        <v/>
      </c>
      <c r="P50" s="10" t="str">
        <f aca="false">IF(B50="","",IF(L50="","Never hit",IF(N50&lt;=Settings!$B$8,"READY","Cooldown")))</f>
        <v/>
      </c>
      <c r="Q50" s="11" t="str">
        <f aca="false">IF(P50="Cooldown",N50-Settings!$B$8,"")</f>
        <v/>
      </c>
      <c r="R50" s="12" t="str">
        <f aca="false">IF(B50="","",COUNTIF('Mug Log'!$B$5:$B$1004,B50))</f>
        <v/>
      </c>
      <c r="S50" s="9" t="str">
        <f aca="false">IF(B50="","",SUMIFS('Mug Log'!$D$5:$D$1004,'Mug Log'!$B$5:$B$1004,B50))</f>
        <v/>
      </c>
      <c r="T50" s="9" t="str">
        <f aca="false">IF(OR(B50="",R50=0),"",S50/R50)</f>
        <v/>
      </c>
      <c r="U50" s="4"/>
    </row>
    <row r="51" customFormat="false" ht="15" hidden="false" customHeight="false" outlineLevel="0" collapsed="false">
      <c r="A51" s="4"/>
      <c r="B51" s="5"/>
      <c r="C51" s="4"/>
      <c r="D51" s="6"/>
      <c r="E51" s="4"/>
      <c r="F51" s="4"/>
      <c r="G51" s="6"/>
      <c r="H51" s="4"/>
      <c r="I51" s="4"/>
      <c r="J51" s="7" t="str">
        <f aca="false">IF(B51="","",HYPERLINK("https://www.torn.com/profiles.php?XID="&amp;B51,"Profile"))</f>
        <v/>
      </c>
      <c r="K51" s="7" t="str">
        <f aca="false">IF(B51="","",HYPERLINK("https://www.torn.com/loader.php?sid=attack&amp;user2ID="&amp;B51,"Attack"))</f>
        <v/>
      </c>
      <c r="L51" s="8" t="str">
        <f aca="false">IF(B51="","",IF(COUNTIF('Mug Log'!$B$5:$B$1004,B51)=0,"",_xlfn.MAXIFS('Mug Log'!$A$5:$A$1004,'Mug Log'!$B$5:$B$1004,B51)))</f>
        <v/>
      </c>
      <c r="M51" s="9" t="str">
        <f aca="false">IF(L51="","",SUMIFS('Mug Log'!$D$5:$D$1004,'Mug Log'!$B$5:$B$1004,B51,'Mug Log'!$A$5:$A$1004,L51))</f>
        <v/>
      </c>
      <c r="N51" s="8" t="str">
        <f aca="false">IF(L51="","",L51+Settings!$B$7/24)</f>
        <v/>
      </c>
      <c r="O51" s="8" t="str">
        <f aca="false">IF(N51="","",N51+Settings!$B$6/24)</f>
        <v/>
      </c>
      <c r="P51" s="10" t="str">
        <f aca="false">IF(B51="","",IF(L51="","Never hit",IF(N51&lt;=Settings!$B$8,"READY","Cooldown")))</f>
        <v/>
      </c>
      <c r="Q51" s="11" t="str">
        <f aca="false">IF(P51="Cooldown",N51-Settings!$B$8,"")</f>
        <v/>
      </c>
      <c r="R51" s="12" t="str">
        <f aca="false">IF(B51="","",COUNTIF('Mug Log'!$B$5:$B$1004,B51))</f>
        <v/>
      </c>
      <c r="S51" s="9" t="str">
        <f aca="false">IF(B51="","",SUMIFS('Mug Log'!$D$5:$D$1004,'Mug Log'!$B$5:$B$1004,B51))</f>
        <v/>
      </c>
      <c r="T51" s="9" t="str">
        <f aca="false">IF(OR(B51="",R51=0),"",S51/R51)</f>
        <v/>
      </c>
      <c r="U51" s="4"/>
    </row>
    <row r="52" customFormat="false" ht="15" hidden="false" customHeight="false" outlineLevel="0" collapsed="false">
      <c r="A52" s="4"/>
      <c r="B52" s="5"/>
      <c r="C52" s="4"/>
      <c r="D52" s="6"/>
      <c r="E52" s="4"/>
      <c r="F52" s="4"/>
      <c r="G52" s="6"/>
      <c r="H52" s="4"/>
      <c r="I52" s="4"/>
      <c r="J52" s="7" t="str">
        <f aca="false">IF(B52="","",HYPERLINK("https://www.torn.com/profiles.php?XID="&amp;B52,"Profile"))</f>
        <v/>
      </c>
      <c r="K52" s="7" t="str">
        <f aca="false">IF(B52="","",HYPERLINK("https://www.torn.com/loader.php?sid=attack&amp;user2ID="&amp;B52,"Attack"))</f>
        <v/>
      </c>
      <c r="L52" s="8" t="str">
        <f aca="false">IF(B52="","",IF(COUNTIF('Mug Log'!$B$5:$B$1004,B52)=0,"",_xlfn.MAXIFS('Mug Log'!$A$5:$A$1004,'Mug Log'!$B$5:$B$1004,B52)))</f>
        <v/>
      </c>
      <c r="M52" s="9" t="str">
        <f aca="false">IF(L52="","",SUMIFS('Mug Log'!$D$5:$D$1004,'Mug Log'!$B$5:$B$1004,B52,'Mug Log'!$A$5:$A$1004,L52))</f>
        <v/>
      </c>
      <c r="N52" s="8" t="str">
        <f aca="false">IF(L52="","",L52+Settings!$B$7/24)</f>
        <v/>
      </c>
      <c r="O52" s="8" t="str">
        <f aca="false">IF(N52="","",N52+Settings!$B$6/24)</f>
        <v/>
      </c>
      <c r="P52" s="10" t="str">
        <f aca="false">IF(B52="","",IF(L52="","Never hit",IF(N52&lt;=Settings!$B$8,"READY","Cooldown")))</f>
        <v/>
      </c>
      <c r="Q52" s="11" t="str">
        <f aca="false">IF(P52="Cooldown",N52-Settings!$B$8,"")</f>
        <v/>
      </c>
      <c r="R52" s="12" t="str">
        <f aca="false">IF(B52="","",COUNTIF('Mug Log'!$B$5:$B$1004,B52))</f>
        <v/>
      </c>
      <c r="S52" s="9" t="str">
        <f aca="false">IF(B52="","",SUMIFS('Mug Log'!$D$5:$D$1004,'Mug Log'!$B$5:$B$1004,B52))</f>
        <v/>
      </c>
      <c r="T52" s="9" t="str">
        <f aca="false">IF(OR(B52="",R52=0),"",S52/R52)</f>
        <v/>
      </c>
      <c r="U52" s="4"/>
    </row>
    <row r="53" customFormat="false" ht="15" hidden="false" customHeight="false" outlineLevel="0" collapsed="false">
      <c r="A53" s="4"/>
      <c r="B53" s="5"/>
      <c r="C53" s="4"/>
      <c r="D53" s="6"/>
      <c r="E53" s="4"/>
      <c r="F53" s="4"/>
      <c r="G53" s="6"/>
      <c r="H53" s="4"/>
      <c r="I53" s="4"/>
      <c r="J53" s="7" t="str">
        <f aca="false">IF(B53="","",HYPERLINK("https://www.torn.com/profiles.php?XID="&amp;B53,"Profile"))</f>
        <v/>
      </c>
      <c r="K53" s="7" t="str">
        <f aca="false">IF(B53="","",HYPERLINK("https://www.torn.com/loader.php?sid=attack&amp;user2ID="&amp;B53,"Attack"))</f>
        <v/>
      </c>
      <c r="L53" s="8" t="str">
        <f aca="false">IF(B53="","",IF(COUNTIF('Mug Log'!$B$5:$B$1004,B53)=0,"",_xlfn.MAXIFS('Mug Log'!$A$5:$A$1004,'Mug Log'!$B$5:$B$1004,B53)))</f>
        <v/>
      </c>
      <c r="M53" s="9" t="str">
        <f aca="false">IF(L53="","",SUMIFS('Mug Log'!$D$5:$D$1004,'Mug Log'!$B$5:$B$1004,B53,'Mug Log'!$A$5:$A$1004,L53))</f>
        <v/>
      </c>
      <c r="N53" s="8" t="str">
        <f aca="false">IF(L53="","",L53+Settings!$B$7/24)</f>
        <v/>
      </c>
      <c r="O53" s="8" t="str">
        <f aca="false">IF(N53="","",N53+Settings!$B$6/24)</f>
        <v/>
      </c>
      <c r="P53" s="10" t="str">
        <f aca="false">IF(B53="","",IF(L53="","Never hit",IF(N53&lt;=Settings!$B$8,"READY","Cooldown")))</f>
        <v/>
      </c>
      <c r="Q53" s="11" t="str">
        <f aca="false">IF(P53="Cooldown",N53-Settings!$B$8,"")</f>
        <v/>
      </c>
      <c r="R53" s="12" t="str">
        <f aca="false">IF(B53="","",COUNTIF('Mug Log'!$B$5:$B$1004,B53))</f>
        <v/>
      </c>
      <c r="S53" s="9" t="str">
        <f aca="false">IF(B53="","",SUMIFS('Mug Log'!$D$5:$D$1004,'Mug Log'!$B$5:$B$1004,B53))</f>
        <v/>
      </c>
      <c r="T53" s="9" t="str">
        <f aca="false">IF(OR(B53="",R53=0),"",S53/R53)</f>
        <v/>
      </c>
      <c r="U53" s="4"/>
    </row>
    <row r="54" customFormat="false" ht="15" hidden="false" customHeight="false" outlineLevel="0" collapsed="false">
      <c r="A54" s="4"/>
      <c r="B54" s="5"/>
      <c r="C54" s="4"/>
      <c r="D54" s="6"/>
      <c r="E54" s="4"/>
      <c r="F54" s="4"/>
      <c r="G54" s="6"/>
      <c r="H54" s="4"/>
      <c r="I54" s="4"/>
      <c r="J54" s="7" t="str">
        <f aca="false">IF(B54="","",HYPERLINK("https://www.torn.com/profiles.php?XID="&amp;B54,"Profile"))</f>
        <v/>
      </c>
      <c r="K54" s="7" t="str">
        <f aca="false">IF(B54="","",HYPERLINK("https://www.torn.com/loader.php?sid=attack&amp;user2ID="&amp;B54,"Attack"))</f>
        <v/>
      </c>
      <c r="L54" s="8" t="str">
        <f aca="false">IF(B54="","",IF(COUNTIF('Mug Log'!$B$5:$B$1004,B54)=0,"",_xlfn.MAXIFS('Mug Log'!$A$5:$A$1004,'Mug Log'!$B$5:$B$1004,B54)))</f>
        <v/>
      </c>
      <c r="M54" s="9" t="str">
        <f aca="false">IF(L54="","",SUMIFS('Mug Log'!$D$5:$D$1004,'Mug Log'!$B$5:$B$1004,B54,'Mug Log'!$A$5:$A$1004,L54))</f>
        <v/>
      </c>
      <c r="N54" s="8" t="str">
        <f aca="false">IF(L54="","",L54+Settings!$B$7/24)</f>
        <v/>
      </c>
      <c r="O54" s="8" t="str">
        <f aca="false">IF(N54="","",N54+Settings!$B$6/24)</f>
        <v/>
      </c>
      <c r="P54" s="10" t="str">
        <f aca="false">IF(B54="","",IF(L54="","Never hit",IF(N54&lt;=Settings!$B$8,"READY","Cooldown")))</f>
        <v/>
      </c>
      <c r="Q54" s="11" t="str">
        <f aca="false">IF(P54="Cooldown",N54-Settings!$B$8,"")</f>
        <v/>
      </c>
      <c r="R54" s="12" t="str">
        <f aca="false">IF(B54="","",COUNTIF('Mug Log'!$B$5:$B$1004,B54))</f>
        <v/>
      </c>
      <c r="S54" s="9" t="str">
        <f aca="false">IF(B54="","",SUMIFS('Mug Log'!$D$5:$D$1004,'Mug Log'!$B$5:$B$1004,B54))</f>
        <v/>
      </c>
      <c r="T54" s="9" t="str">
        <f aca="false">IF(OR(B54="",R54=0),"",S54/R54)</f>
        <v/>
      </c>
      <c r="U54" s="4"/>
    </row>
    <row r="55" customFormat="false" ht="15" hidden="false" customHeight="false" outlineLevel="0" collapsed="false">
      <c r="A55" s="4"/>
      <c r="B55" s="5"/>
      <c r="C55" s="4"/>
      <c r="D55" s="6"/>
      <c r="E55" s="4"/>
      <c r="F55" s="4"/>
      <c r="G55" s="6"/>
      <c r="H55" s="4"/>
      <c r="I55" s="4"/>
      <c r="J55" s="7" t="str">
        <f aca="false">IF(B55="","",HYPERLINK("https://www.torn.com/profiles.php?XID="&amp;B55,"Profile"))</f>
        <v/>
      </c>
      <c r="K55" s="7" t="str">
        <f aca="false">IF(B55="","",HYPERLINK("https://www.torn.com/loader.php?sid=attack&amp;user2ID="&amp;B55,"Attack"))</f>
        <v/>
      </c>
      <c r="L55" s="8" t="str">
        <f aca="false">IF(B55="","",IF(COUNTIF('Mug Log'!$B$5:$B$1004,B55)=0,"",_xlfn.MAXIFS('Mug Log'!$A$5:$A$1004,'Mug Log'!$B$5:$B$1004,B55)))</f>
        <v/>
      </c>
      <c r="M55" s="9" t="str">
        <f aca="false">IF(L55="","",SUMIFS('Mug Log'!$D$5:$D$1004,'Mug Log'!$B$5:$B$1004,B55,'Mug Log'!$A$5:$A$1004,L55))</f>
        <v/>
      </c>
      <c r="N55" s="8" t="str">
        <f aca="false">IF(L55="","",L55+Settings!$B$7/24)</f>
        <v/>
      </c>
      <c r="O55" s="8" t="str">
        <f aca="false">IF(N55="","",N55+Settings!$B$6/24)</f>
        <v/>
      </c>
      <c r="P55" s="10" t="str">
        <f aca="false">IF(B55="","",IF(L55="","Never hit",IF(N55&lt;=Settings!$B$8,"READY","Cooldown")))</f>
        <v/>
      </c>
      <c r="Q55" s="11" t="str">
        <f aca="false">IF(P55="Cooldown",N55-Settings!$B$8,"")</f>
        <v/>
      </c>
      <c r="R55" s="12" t="str">
        <f aca="false">IF(B55="","",COUNTIF('Mug Log'!$B$5:$B$1004,B55))</f>
        <v/>
      </c>
      <c r="S55" s="9" t="str">
        <f aca="false">IF(B55="","",SUMIFS('Mug Log'!$D$5:$D$1004,'Mug Log'!$B$5:$B$1004,B55))</f>
        <v/>
      </c>
      <c r="T55" s="9" t="str">
        <f aca="false">IF(OR(B55="",R55=0),"",S55/R55)</f>
        <v/>
      </c>
      <c r="U55" s="4"/>
    </row>
    <row r="56" customFormat="false" ht="15" hidden="false" customHeight="false" outlineLevel="0" collapsed="false">
      <c r="A56" s="4"/>
      <c r="B56" s="5"/>
      <c r="C56" s="4"/>
      <c r="D56" s="6"/>
      <c r="E56" s="4"/>
      <c r="F56" s="4"/>
      <c r="G56" s="6"/>
      <c r="H56" s="4"/>
      <c r="I56" s="4"/>
      <c r="J56" s="7" t="str">
        <f aca="false">IF(B56="","",HYPERLINK("https://www.torn.com/profiles.php?XID="&amp;B56,"Profile"))</f>
        <v/>
      </c>
      <c r="K56" s="7" t="str">
        <f aca="false">IF(B56="","",HYPERLINK("https://www.torn.com/loader.php?sid=attack&amp;user2ID="&amp;B56,"Attack"))</f>
        <v/>
      </c>
      <c r="L56" s="8" t="str">
        <f aca="false">IF(B56="","",IF(COUNTIF('Mug Log'!$B$5:$B$1004,B56)=0,"",_xlfn.MAXIFS('Mug Log'!$A$5:$A$1004,'Mug Log'!$B$5:$B$1004,B56)))</f>
        <v/>
      </c>
      <c r="M56" s="9" t="str">
        <f aca="false">IF(L56="","",SUMIFS('Mug Log'!$D$5:$D$1004,'Mug Log'!$B$5:$B$1004,B56,'Mug Log'!$A$5:$A$1004,L56))</f>
        <v/>
      </c>
      <c r="N56" s="8" t="str">
        <f aca="false">IF(L56="","",L56+Settings!$B$7/24)</f>
        <v/>
      </c>
      <c r="O56" s="8" t="str">
        <f aca="false">IF(N56="","",N56+Settings!$B$6/24)</f>
        <v/>
      </c>
      <c r="P56" s="10" t="str">
        <f aca="false">IF(B56="","",IF(L56="","Never hit",IF(N56&lt;=Settings!$B$8,"READY","Cooldown")))</f>
        <v/>
      </c>
      <c r="Q56" s="11" t="str">
        <f aca="false">IF(P56="Cooldown",N56-Settings!$B$8,"")</f>
        <v/>
      </c>
      <c r="R56" s="12" t="str">
        <f aca="false">IF(B56="","",COUNTIF('Mug Log'!$B$5:$B$1004,B56))</f>
        <v/>
      </c>
      <c r="S56" s="9" t="str">
        <f aca="false">IF(B56="","",SUMIFS('Mug Log'!$D$5:$D$1004,'Mug Log'!$B$5:$B$1004,B56))</f>
        <v/>
      </c>
      <c r="T56" s="9" t="str">
        <f aca="false">IF(OR(B56="",R56=0),"",S56/R56)</f>
        <v/>
      </c>
      <c r="U56" s="4"/>
    </row>
    <row r="57" customFormat="false" ht="15" hidden="false" customHeight="false" outlineLevel="0" collapsed="false">
      <c r="A57" s="4"/>
      <c r="B57" s="5"/>
      <c r="C57" s="4"/>
      <c r="D57" s="6"/>
      <c r="E57" s="4"/>
      <c r="F57" s="4"/>
      <c r="G57" s="6"/>
      <c r="H57" s="4"/>
      <c r="I57" s="4"/>
      <c r="J57" s="7" t="str">
        <f aca="false">IF(B57="","",HYPERLINK("https://www.torn.com/profiles.php?XID="&amp;B57,"Profile"))</f>
        <v/>
      </c>
      <c r="K57" s="7" t="str">
        <f aca="false">IF(B57="","",HYPERLINK("https://www.torn.com/loader.php?sid=attack&amp;user2ID="&amp;B57,"Attack"))</f>
        <v/>
      </c>
      <c r="L57" s="8" t="str">
        <f aca="false">IF(B57="","",IF(COUNTIF('Mug Log'!$B$5:$B$1004,B57)=0,"",_xlfn.MAXIFS('Mug Log'!$A$5:$A$1004,'Mug Log'!$B$5:$B$1004,B57)))</f>
        <v/>
      </c>
      <c r="M57" s="9" t="str">
        <f aca="false">IF(L57="","",SUMIFS('Mug Log'!$D$5:$D$1004,'Mug Log'!$B$5:$B$1004,B57,'Mug Log'!$A$5:$A$1004,L57))</f>
        <v/>
      </c>
      <c r="N57" s="8" t="str">
        <f aca="false">IF(L57="","",L57+Settings!$B$7/24)</f>
        <v/>
      </c>
      <c r="O57" s="8" t="str">
        <f aca="false">IF(N57="","",N57+Settings!$B$6/24)</f>
        <v/>
      </c>
      <c r="P57" s="10" t="str">
        <f aca="false">IF(B57="","",IF(L57="","Never hit",IF(N57&lt;=Settings!$B$8,"READY","Cooldown")))</f>
        <v/>
      </c>
      <c r="Q57" s="11" t="str">
        <f aca="false">IF(P57="Cooldown",N57-Settings!$B$8,"")</f>
        <v/>
      </c>
      <c r="R57" s="12" t="str">
        <f aca="false">IF(B57="","",COUNTIF('Mug Log'!$B$5:$B$1004,B57))</f>
        <v/>
      </c>
      <c r="S57" s="9" t="str">
        <f aca="false">IF(B57="","",SUMIFS('Mug Log'!$D$5:$D$1004,'Mug Log'!$B$5:$B$1004,B57))</f>
        <v/>
      </c>
      <c r="T57" s="9" t="str">
        <f aca="false">IF(OR(B57="",R57=0),"",S57/R57)</f>
        <v/>
      </c>
      <c r="U57" s="4"/>
    </row>
    <row r="58" customFormat="false" ht="15" hidden="false" customHeight="false" outlineLevel="0" collapsed="false">
      <c r="A58" s="4"/>
      <c r="B58" s="5"/>
      <c r="C58" s="4"/>
      <c r="D58" s="6"/>
      <c r="E58" s="4"/>
      <c r="F58" s="4"/>
      <c r="G58" s="6"/>
      <c r="H58" s="4"/>
      <c r="I58" s="4"/>
      <c r="J58" s="7" t="str">
        <f aca="false">IF(B58="","",HYPERLINK("https://www.torn.com/profiles.php?XID="&amp;B58,"Profile"))</f>
        <v/>
      </c>
      <c r="K58" s="7" t="str">
        <f aca="false">IF(B58="","",HYPERLINK("https://www.torn.com/loader.php?sid=attack&amp;user2ID="&amp;B58,"Attack"))</f>
        <v/>
      </c>
      <c r="L58" s="8" t="str">
        <f aca="false">IF(B58="","",IF(COUNTIF('Mug Log'!$B$5:$B$1004,B58)=0,"",_xlfn.MAXIFS('Mug Log'!$A$5:$A$1004,'Mug Log'!$B$5:$B$1004,B58)))</f>
        <v/>
      </c>
      <c r="M58" s="9" t="str">
        <f aca="false">IF(L58="","",SUMIFS('Mug Log'!$D$5:$D$1004,'Mug Log'!$B$5:$B$1004,B58,'Mug Log'!$A$5:$A$1004,L58))</f>
        <v/>
      </c>
      <c r="N58" s="8" t="str">
        <f aca="false">IF(L58="","",L58+Settings!$B$7/24)</f>
        <v/>
      </c>
      <c r="O58" s="8" t="str">
        <f aca="false">IF(N58="","",N58+Settings!$B$6/24)</f>
        <v/>
      </c>
      <c r="P58" s="10" t="str">
        <f aca="false">IF(B58="","",IF(L58="","Never hit",IF(N58&lt;=Settings!$B$8,"READY","Cooldown")))</f>
        <v/>
      </c>
      <c r="Q58" s="11" t="str">
        <f aca="false">IF(P58="Cooldown",N58-Settings!$B$8,"")</f>
        <v/>
      </c>
      <c r="R58" s="12" t="str">
        <f aca="false">IF(B58="","",COUNTIF('Mug Log'!$B$5:$B$1004,B58))</f>
        <v/>
      </c>
      <c r="S58" s="9" t="str">
        <f aca="false">IF(B58="","",SUMIFS('Mug Log'!$D$5:$D$1004,'Mug Log'!$B$5:$B$1004,B58))</f>
        <v/>
      </c>
      <c r="T58" s="9" t="str">
        <f aca="false">IF(OR(B58="",R58=0),"",S58/R58)</f>
        <v/>
      </c>
      <c r="U58" s="4"/>
    </row>
    <row r="59" customFormat="false" ht="15" hidden="false" customHeight="false" outlineLevel="0" collapsed="false">
      <c r="A59" s="4"/>
      <c r="B59" s="5"/>
      <c r="C59" s="4"/>
      <c r="D59" s="6"/>
      <c r="E59" s="4"/>
      <c r="F59" s="4"/>
      <c r="G59" s="6"/>
      <c r="H59" s="4"/>
      <c r="I59" s="4"/>
      <c r="J59" s="7" t="str">
        <f aca="false">IF(B59="","",HYPERLINK("https://www.torn.com/profiles.php?XID="&amp;B59,"Profile"))</f>
        <v/>
      </c>
      <c r="K59" s="7" t="str">
        <f aca="false">IF(B59="","",HYPERLINK("https://www.torn.com/loader.php?sid=attack&amp;user2ID="&amp;B59,"Attack"))</f>
        <v/>
      </c>
      <c r="L59" s="8" t="str">
        <f aca="false">IF(B59="","",IF(COUNTIF('Mug Log'!$B$5:$B$1004,B59)=0,"",_xlfn.MAXIFS('Mug Log'!$A$5:$A$1004,'Mug Log'!$B$5:$B$1004,B59)))</f>
        <v/>
      </c>
      <c r="M59" s="9" t="str">
        <f aca="false">IF(L59="","",SUMIFS('Mug Log'!$D$5:$D$1004,'Mug Log'!$B$5:$B$1004,B59,'Mug Log'!$A$5:$A$1004,L59))</f>
        <v/>
      </c>
      <c r="N59" s="8" t="str">
        <f aca="false">IF(L59="","",L59+Settings!$B$7/24)</f>
        <v/>
      </c>
      <c r="O59" s="8" t="str">
        <f aca="false">IF(N59="","",N59+Settings!$B$6/24)</f>
        <v/>
      </c>
      <c r="P59" s="10" t="str">
        <f aca="false">IF(B59="","",IF(L59="","Never hit",IF(N59&lt;=Settings!$B$8,"READY","Cooldown")))</f>
        <v/>
      </c>
      <c r="Q59" s="11" t="str">
        <f aca="false">IF(P59="Cooldown",N59-Settings!$B$8,"")</f>
        <v/>
      </c>
      <c r="R59" s="12" t="str">
        <f aca="false">IF(B59="","",COUNTIF('Mug Log'!$B$5:$B$1004,B59))</f>
        <v/>
      </c>
      <c r="S59" s="9" t="str">
        <f aca="false">IF(B59="","",SUMIFS('Mug Log'!$D$5:$D$1004,'Mug Log'!$B$5:$B$1004,B59))</f>
        <v/>
      </c>
      <c r="T59" s="9" t="str">
        <f aca="false">IF(OR(B59="",R59=0),"",S59/R59)</f>
        <v/>
      </c>
      <c r="U59" s="4"/>
    </row>
    <row r="60" customFormat="false" ht="15" hidden="false" customHeight="false" outlineLevel="0" collapsed="false">
      <c r="A60" s="4"/>
      <c r="B60" s="5"/>
      <c r="C60" s="4"/>
      <c r="D60" s="6"/>
      <c r="E60" s="4"/>
      <c r="F60" s="4"/>
      <c r="G60" s="6"/>
      <c r="H60" s="4"/>
      <c r="I60" s="4"/>
      <c r="J60" s="7" t="str">
        <f aca="false">IF(B60="","",HYPERLINK("https://www.torn.com/profiles.php?XID="&amp;B60,"Profile"))</f>
        <v/>
      </c>
      <c r="K60" s="7" t="str">
        <f aca="false">IF(B60="","",HYPERLINK("https://www.torn.com/loader.php?sid=attack&amp;user2ID="&amp;B60,"Attack"))</f>
        <v/>
      </c>
      <c r="L60" s="8" t="str">
        <f aca="false">IF(B60="","",IF(COUNTIF('Mug Log'!$B$5:$B$1004,B60)=0,"",_xlfn.MAXIFS('Mug Log'!$A$5:$A$1004,'Mug Log'!$B$5:$B$1004,B60)))</f>
        <v/>
      </c>
      <c r="M60" s="9" t="str">
        <f aca="false">IF(L60="","",SUMIFS('Mug Log'!$D$5:$D$1004,'Mug Log'!$B$5:$B$1004,B60,'Mug Log'!$A$5:$A$1004,L60))</f>
        <v/>
      </c>
      <c r="N60" s="8" t="str">
        <f aca="false">IF(L60="","",L60+Settings!$B$7/24)</f>
        <v/>
      </c>
      <c r="O60" s="8" t="str">
        <f aca="false">IF(N60="","",N60+Settings!$B$6/24)</f>
        <v/>
      </c>
      <c r="P60" s="10" t="str">
        <f aca="false">IF(B60="","",IF(L60="","Never hit",IF(N60&lt;=Settings!$B$8,"READY","Cooldown")))</f>
        <v/>
      </c>
      <c r="Q60" s="11" t="str">
        <f aca="false">IF(P60="Cooldown",N60-Settings!$B$8,"")</f>
        <v/>
      </c>
      <c r="R60" s="12" t="str">
        <f aca="false">IF(B60="","",COUNTIF('Mug Log'!$B$5:$B$1004,B60))</f>
        <v/>
      </c>
      <c r="S60" s="9" t="str">
        <f aca="false">IF(B60="","",SUMIFS('Mug Log'!$D$5:$D$1004,'Mug Log'!$B$5:$B$1004,B60))</f>
        <v/>
      </c>
      <c r="T60" s="9" t="str">
        <f aca="false">IF(OR(B60="",R60=0),"",S60/R60)</f>
        <v/>
      </c>
      <c r="U60" s="4"/>
    </row>
    <row r="61" customFormat="false" ht="15" hidden="false" customHeight="false" outlineLevel="0" collapsed="false">
      <c r="A61" s="4"/>
      <c r="B61" s="5"/>
      <c r="C61" s="4"/>
      <c r="D61" s="6"/>
      <c r="E61" s="4"/>
      <c r="F61" s="4"/>
      <c r="G61" s="6"/>
      <c r="H61" s="4"/>
      <c r="I61" s="4"/>
      <c r="J61" s="7" t="str">
        <f aca="false">IF(B61="","",HYPERLINK("https://www.torn.com/profiles.php?XID="&amp;B61,"Profile"))</f>
        <v/>
      </c>
      <c r="K61" s="7" t="str">
        <f aca="false">IF(B61="","",HYPERLINK("https://www.torn.com/loader.php?sid=attack&amp;user2ID="&amp;B61,"Attack"))</f>
        <v/>
      </c>
      <c r="L61" s="8" t="str">
        <f aca="false">IF(B61="","",IF(COUNTIF('Mug Log'!$B$5:$B$1004,B61)=0,"",_xlfn.MAXIFS('Mug Log'!$A$5:$A$1004,'Mug Log'!$B$5:$B$1004,B61)))</f>
        <v/>
      </c>
      <c r="M61" s="9" t="str">
        <f aca="false">IF(L61="","",SUMIFS('Mug Log'!$D$5:$D$1004,'Mug Log'!$B$5:$B$1004,B61,'Mug Log'!$A$5:$A$1004,L61))</f>
        <v/>
      </c>
      <c r="N61" s="8" t="str">
        <f aca="false">IF(L61="","",L61+Settings!$B$7/24)</f>
        <v/>
      </c>
      <c r="O61" s="8" t="str">
        <f aca="false">IF(N61="","",N61+Settings!$B$6/24)</f>
        <v/>
      </c>
      <c r="P61" s="10" t="str">
        <f aca="false">IF(B61="","",IF(L61="","Never hit",IF(N61&lt;=Settings!$B$8,"READY","Cooldown")))</f>
        <v/>
      </c>
      <c r="Q61" s="11" t="str">
        <f aca="false">IF(P61="Cooldown",N61-Settings!$B$8,"")</f>
        <v/>
      </c>
      <c r="R61" s="12" t="str">
        <f aca="false">IF(B61="","",COUNTIF('Mug Log'!$B$5:$B$1004,B61))</f>
        <v/>
      </c>
      <c r="S61" s="9" t="str">
        <f aca="false">IF(B61="","",SUMIFS('Mug Log'!$D$5:$D$1004,'Mug Log'!$B$5:$B$1004,B61))</f>
        <v/>
      </c>
      <c r="T61" s="9" t="str">
        <f aca="false">IF(OR(B61="",R61=0),"",S61/R61)</f>
        <v/>
      </c>
      <c r="U61" s="4"/>
    </row>
    <row r="62" customFormat="false" ht="15" hidden="false" customHeight="false" outlineLevel="0" collapsed="false">
      <c r="A62" s="4"/>
      <c r="B62" s="5"/>
      <c r="C62" s="4"/>
      <c r="D62" s="6"/>
      <c r="E62" s="4"/>
      <c r="F62" s="4"/>
      <c r="G62" s="6"/>
      <c r="H62" s="4"/>
      <c r="I62" s="4"/>
      <c r="J62" s="7" t="str">
        <f aca="false">IF(B62="","",HYPERLINK("https://www.torn.com/profiles.php?XID="&amp;B62,"Profile"))</f>
        <v/>
      </c>
      <c r="K62" s="7" t="str">
        <f aca="false">IF(B62="","",HYPERLINK("https://www.torn.com/loader.php?sid=attack&amp;user2ID="&amp;B62,"Attack"))</f>
        <v/>
      </c>
      <c r="L62" s="8" t="str">
        <f aca="false">IF(B62="","",IF(COUNTIF('Mug Log'!$B$5:$B$1004,B62)=0,"",_xlfn.MAXIFS('Mug Log'!$A$5:$A$1004,'Mug Log'!$B$5:$B$1004,B62)))</f>
        <v/>
      </c>
      <c r="M62" s="9" t="str">
        <f aca="false">IF(L62="","",SUMIFS('Mug Log'!$D$5:$D$1004,'Mug Log'!$B$5:$B$1004,B62,'Mug Log'!$A$5:$A$1004,L62))</f>
        <v/>
      </c>
      <c r="N62" s="8" t="str">
        <f aca="false">IF(L62="","",L62+Settings!$B$7/24)</f>
        <v/>
      </c>
      <c r="O62" s="8" t="str">
        <f aca="false">IF(N62="","",N62+Settings!$B$6/24)</f>
        <v/>
      </c>
      <c r="P62" s="10" t="str">
        <f aca="false">IF(B62="","",IF(L62="","Never hit",IF(N62&lt;=Settings!$B$8,"READY","Cooldown")))</f>
        <v/>
      </c>
      <c r="Q62" s="11" t="str">
        <f aca="false">IF(P62="Cooldown",N62-Settings!$B$8,"")</f>
        <v/>
      </c>
      <c r="R62" s="12" t="str">
        <f aca="false">IF(B62="","",COUNTIF('Mug Log'!$B$5:$B$1004,B62))</f>
        <v/>
      </c>
      <c r="S62" s="9" t="str">
        <f aca="false">IF(B62="","",SUMIFS('Mug Log'!$D$5:$D$1004,'Mug Log'!$B$5:$B$1004,B62))</f>
        <v/>
      </c>
      <c r="T62" s="9" t="str">
        <f aca="false">IF(OR(B62="",R62=0),"",S62/R62)</f>
        <v/>
      </c>
      <c r="U62" s="4"/>
    </row>
    <row r="63" customFormat="false" ht="15" hidden="false" customHeight="false" outlineLevel="0" collapsed="false">
      <c r="A63" s="4"/>
      <c r="B63" s="5"/>
      <c r="C63" s="4"/>
      <c r="D63" s="6"/>
      <c r="E63" s="4"/>
      <c r="F63" s="4"/>
      <c r="G63" s="6"/>
      <c r="H63" s="4"/>
      <c r="I63" s="4"/>
      <c r="J63" s="7" t="str">
        <f aca="false">IF(B63="","",HYPERLINK("https://www.torn.com/profiles.php?XID="&amp;B63,"Profile"))</f>
        <v/>
      </c>
      <c r="K63" s="7" t="str">
        <f aca="false">IF(B63="","",HYPERLINK("https://www.torn.com/loader.php?sid=attack&amp;user2ID="&amp;B63,"Attack"))</f>
        <v/>
      </c>
      <c r="L63" s="8" t="str">
        <f aca="false">IF(B63="","",IF(COUNTIF('Mug Log'!$B$5:$B$1004,B63)=0,"",_xlfn.MAXIFS('Mug Log'!$A$5:$A$1004,'Mug Log'!$B$5:$B$1004,B63)))</f>
        <v/>
      </c>
      <c r="M63" s="9" t="str">
        <f aca="false">IF(L63="","",SUMIFS('Mug Log'!$D$5:$D$1004,'Mug Log'!$B$5:$B$1004,B63,'Mug Log'!$A$5:$A$1004,L63))</f>
        <v/>
      </c>
      <c r="N63" s="8" t="str">
        <f aca="false">IF(L63="","",L63+Settings!$B$7/24)</f>
        <v/>
      </c>
      <c r="O63" s="8" t="str">
        <f aca="false">IF(N63="","",N63+Settings!$B$6/24)</f>
        <v/>
      </c>
      <c r="P63" s="10" t="str">
        <f aca="false">IF(B63="","",IF(L63="","Never hit",IF(N63&lt;=Settings!$B$8,"READY","Cooldown")))</f>
        <v/>
      </c>
      <c r="Q63" s="11" t="str">
        <f aca="false">IF(P63="Cooldown",N63-Settings!$B$8,"")</f>
        <v/>
      </c>
      <c r="R63" s="12" t="str">
        <f aca="false">IF(B63="","",COUNTIF('Mug Log'!$B$5:$B$1004,B63))</f>
        <v/>
      </c>
      <c r="S63" s="9" t="str">
        <f aca="false">IF(B63="","",SUMIFS('Mug Log'!$D$5:$D$1004,'Mug Log'!$B$5:$B$1004,B63))</f>
        <v/>
      </c>
      <c r="T63" s="9" t="str">
        <f aca="false">IF(OR(B63="",R63=0),"",S63/R63)</f>
        <v/>
      </c>
      <c r="U63" s="4"/>
    </row>
    <row r="64" customFormat="false" ht="15" hidden="false" customHeight="false" outlineLevel="0" collapsed="false">
      <c r="A64" s="4"/>
      <c r="B64" s="5"/>
      <c r="C64" s="4"/>
      <c r="D64" s="6"/>
      <c r="E64" s="4"/>
      <c r="F64" s="4"/>
      <c r="G64" s="6"/>
      <c r="H64" s="4"/>
      <c r="I64" s="4"/>
      <c r="J64" s="7" t="str">
        <f aca="false">IF(B64="","",HYPERLINK("https://www.torn.com/profiles.php?XID="&amp;B64,"Profile"))</f>
        <v/>
      </c>
      <c r="K64" s="7" t="str">
        <f aca="false">IF(B64="","",HYPERLINK("https://www.torn.com/loader.php?sid=attack&amp;user2ID="&amp;B64,"Attack"))</f>
        <v/>
      </c>
      <c r="L64" s="8" t="str">
        <f aca="false">IF(B64="","",IF(COUNTIF('Mug Log'!$B$5:$B$1004,B64)=0,"",_xlfn.MAXIFS('Mug Log'!$A$5:$A$1004,'Mug Log'!$B$5:$B$1004,B64)))</f>
        <v/>
      </c>
      <c r="M64" s="9" t="str">
        <f aca="false">IF(L64="","",SUMIFS('Mug Log'!$D$5:$D$1004,'Mug Log'!$B$5:$B$1004,B64,'Mug Log'!$A$5:$A$1004,L64))</f>
        <v/>
      </c>
      <c r="N64" s="8" t="str">
        <f aca="false">IF(L64="","",L64+Settings!$B$7/24)</f>
        <v/>
      </c>
      <c r="O64" s="8" t="str">
        <f aca="false">IF(N64="","",N64+Settings!$B$6/24)</f>
        <v/>
      </c>
      <c r="P64" s="10" t="str">
        <f aca="false">IF(B64="","",IF(L64="","Never hit",IF(N64&lt;=Settings!$B$8,"READY","Cooldown")))</f>
        <v/>
      </c>
      <c r="Q64" s="11" t="str">
        <f aca="false">IF(P64="Cooldown",N64-Settings!$B$8,"")</f>
        <v/>
      </c>
      <c r="R64" s="12" t="str">
        <f aca="false">IF(B64="","",COUNTIF('Mug Log'!$B$5:$B$1004,B64))</f>
        <v/>
      </c>
      <c r="S64" s="9" t="str">
        <f aca="false">IF(B64="","",SUMIFS('Mug Log'!$D$5:$D$1004,'Mug Log'!$B$5:$B$1004,B64))</f>
        <v/>
      </c>
      <c r="T64" s="9" t="str">
        <f aca="false">IF(OR(B64="",R64=0),"",S64/R64)</f>
        <v/>
      </c>
      <c r="U64" s="4"/>
    </row>
    <row r="65" customFormat="false" ht="15" hidden="false" customHeight="false" outlineLevel="0" collapsed="false">
      <c r="A65" s="4"/>
      <c r="B65" s="5"/>
      <c r="C65" s="4"/>
      <c r="D65" s="6"/>
      <c r="E65" s="4"/>
      <c r="F65" s="4"/>
      <c r="G65" s="6"/>
      <c r="H65" s="4"/>
      <c r="I65" s="4"/>
      <c r="J65" s="7" t="str">
        <f aca="false">IF(B65="","",HYPERLINK("https://www.torn.com/profiles.php?XID="&amp;B65,"Profile"))</f>
        <v/>
      </c>
      <c r="K65" s="7" t="str">
        <f aca="false">IF(B65="","",HYPERLINK("https://www.torn.com/loader.php?sid=attack&amp;user2ID="&amp;B65,"Attack"))</f>
        <v/>
      </c>
      <c r="L65" s="8" t="str">
        <f aca="false">IF(B65="","",IF(COUNTIF('Mug Log'!$B$5:$B$1004,B65)=0,"",_xlfn.MAXIFS('Mug Log'!$A$5:$A$1004,'Mug Log'!$B$5:$B$1004,B65)))</f>
        <v/>
      </c>
      <c r="M65" s="9" t="str">
        <f aca="false">IF(L65="","",SUMIFS('Mug Log'!$D$5:$D$1004,'Mug Log'!$B$5:$B$1004,B65,'Mug Log'!$A$5:$A$1004,L65))</f>
        <v/>
      </c>
      <c r="N65" s="8" t="str">
        <f aca="false">IF(L65="","",L65+Settings!$B$7/24)</f>
        <v/>
      </c>
      <c r="O65" s="8" t="str">
        <f aca="false">IF(N65="","",N65+Settings!$B$6/24)</f>
        <v/>
      </c>
      <c r="P65" s="10" t="str">
        <f aca="false">IF(B65="","",IF(L65="","Never hit",IF(N65&lt;=Settings!$B$8,"READY","Cooldown")))</f>
        <v/>
      </c>
      <c r="Q65" s="11" t="str">
        <f aca="false">IF(P65="Cooldown",N65-Settings!$B$8,"")</f>
        <v/>
      </c>
      <c r="R65" s="12" t="str">
        <f aca="false">IF(B65="","",COUNTIF('Mug Log'!$B$5:$B$1004,B65))</f>
        <v/>
      </c>
      <c r="S65" s="9" t="str">
        <f aca="false">IF(B65="","",SUMIFS('Mug Log'!$D$5:$D$1004,'Mug Log'!$B$5:$B$1004,B65))</f>
        <v/>
      </c>
      <c r="T65" s="9" t="str">
        <f aca="false">IF(OR(B65="",R65=0),"",S65/R65)</f>
        <v/>
      </c>
      <c r="U65" s="4"/>
    </row>
    <row r="66" customFormat="false" ht="15" hidden="false" customHeight="false" outlineLevel="0" collapsed="false">
      <c r="A66" s="4"/>
      <c r="B66" s="5"/>
      <c r="C66" s="4"/>
      <c r="D66" s="6"/>
      <c r="E66" s="4"/>
      <c r="F66" s="4"/>
      <c r="G66" s="6"/>
      <c r="H66" s="4"/>
      <c r="I66" s="4"/>
      <c r="J66" s="7" t="str">
        <f aca="false">IF(B66="","",HYPERLINK("https://www.torn.com/profiles.php?XID="&amp;B66,"Profile"))</f>
        <v/>
      </c>
      <c r="K66" s="7" t="str">
        <f aca="false">IF(B66="","",HYPERLINK("https://www.torn.com/loader.php?sid=attack&amp;user2ID="&amp;B66,"Attack"))</f>
        <v/>
      </c>
      <c r="L66" s="8" t="str">
        <f aca="false">IF(B66="","",IF(COUNTIF('Mug Log'!$B$5:$B$1004,B66)=0,"",_xlfn.MAXIFS('Mug Log'!$A$5:$A$1004,'Mug Log'!$B$5:$B$1004,B66)))</f>
        <v/>
      </c>
      <c r="M66" s="9" t="str">
        <f aca="false">IF(L66="","",SUMIFS('Mug Log'!$D$5:$D$1004,'Mug Log'!$B$5:$B$1004,B66,'Mug Log'!$A$5:$A$1004,L66))</f>
        <v/>
      </c>
      <c r="N66" s="8" t="str">
        <f aca="false">IF(L66="","",L66+Settings!$B$7/24)</f>
        <v/>
      </c>
      <c r="O66" s="8" t="str">
        <f aca="false">IF(N66="","",N66+Settings!$B$6/24)</f>
        <v/>
      </c>
      <c r="P66" s="10" t="str">
        <f aca="false">IF(B66="","",IF(L66="","Never hit",IF(N66&lt;=Settings!$B$8,"READY","Cooldown")))</f>
        <v/>
      </c>
      <c r="Q66" s="11" t="str">
        <f aca="false">IF(P66="Cooldown",N66-Settings!$B$8,"")</f>
        <v/>
      </c>
      <c r="R66" s="12" t="str">
        <f aca="false">IF(B66="","",COUNTIF('Mug Log'!$B$5:$B$1004,B66))</f>
        <v/>
      </c>
      <c r="S66" s="9" t="str">
        <f aca="false">IF(B66="","",SUMIFS('Mug Log'!$D$5:$D$1004,'Mug Log'!$B$5:$B$1004,B66))</f>
        <v/>
      </c>
      <c r="T66" s="9" t="str">
        <f aca="false">IF(OR(B66="",R66=0),"",S66/R66)</f>
        <v/>
      </c>
      <c r="U66" s="4"/>
    </row>
    <row r="67" customFormat="false" ht="15" hidden="false" customHeight="false" outlineLevel="0" collapsed="false">
      <c r="A67" s="4"/>
      <c r="B67" s="5"/>
      <c r="C67" s="4"/>
      <c r="D67" s="6"/>
      <c r="E67" s="4"/>
      <c r="F67" s="4"/>
      <c r="G67" s="6"/>
      <c r="H67" s="4"/>
      <c r="I67" s="4"/>
      <c r="J67" s="7" t="str">
        <f aca="false">IF(B67="","",HYPERLINK("https://www.torn.com/profiles.php?XID="&amp;B67,"Profile"))</f>
        <v/>
      </c>
      <c r="K67" s="7" t="str">
        <f aca="false">IF(B67="","",HYPERLINK("https://www.torn.com/loader.php?sid=attack&amp;user2ID="&amp;B67,"Attack"))</f>
        <v/>
      </c>
      <c r="L67" s="8" t="str">
        <f aca="false">IF(B67="","",IF(COUNTIF('Mug Log'!$B$5:$B$1004,B67)=0,"",_xlfn.MAXIFS('Mug Log'!$A$5:$A$1004,'Mug Log'!$B$5:$B$1004,B67)))</f>
        <v/>
      </c>
      <c r="M67" s="9" t="str">
        <f aca="false">IF(L67="","",SUMIFS('Mug Log'!$D$5:$D$1004,'Mug Log'!$B$5:$B$1004,B67,'Mug Log'!$A$5:$A$1004,L67))</f>
        <v/>
      </c>
      <c r="N67" s="8" t="str">
        <f aca="false">IF(L67="","",L67+Settings!$B$7/24)</f>
        <v/>
      </c>
      <c r="O67" s="8" t="str">
        <f aca="false">IF(N67="","",N67+Settings!$B$6/24)</f>
        <v/>
      </c>
      <c r="P67" s="10" t="str">
        <f aca="false">IF(B67="","",IF(L67="","Never hit",IF(N67&lt;=Settings!$B$8,"READY","Cooldown")))</f>
        <v/>
      </c>
      <c r="Q67" s="11" t="str">
        <f aca="false">IF(P67="Cooldown",N67-Settings!$B$8,"")</f>
        <v/>
      </c>
      <c r="R67" s="12" t="str">
        <f aca="false">IF(B67="","",COUNTIF('Mug Log'!$B$5:$B$1004,B67))</f>
        <v/>
      </c>
      <c r="S67" s="9" t="str">
        <f aca="false">IF(B67="","",SUMIFS('Mug Log'!$D$5:$D$1004,'Mug Log'!$B$5:$B$1004,B67))</f>
        <v/>
      </c>
      <c r="T67" s="9" t="str">
        <f aca="false">IF(OR(B67="",R67=0),"",S67/R67)</f>
        <v/>
      </c>
      <c r="U67" s="4"/>
    </row>
    <row r="68" customFormat="false" ht="15" hidden="false" customHeight="false" outlineLevel="0" collapsed="false">
      <c r="A68" s="4"/>
      <c r="B68" s="5"/>
      <c r="C68" s="4"/>
      <c r="D68" s="6"/>
      <c r="E68" s="4"/>
      <c r="F68" s="4"/>
      <c r="G68" s="6"/>
      <c r="H68" s="4"/>
      <c r="I68" s="4"/>
      <c r="J68" s="7" t="str">
        <f aca="false">IF(B68="","",HYPERLINK("https://www.torn.com/profiles.php?XID="&amp;B68,"Profile"))</f>
        <v/>
      </c>
      <c r="K68" s="7" t="str">
        <f aca="false">IF(B68="","",HYPERLINK("https://www.torn.com/loader.php?sid=attack&amp;user2ID="&amp;B68,"Attack"))</f>
        <v/>
      </c>
      <c r="L68" s="8" t="str">
        <f aca="false">IF(B68="","",IF(COUNTIF('Mug Log'!$B$5:$B$1004,B68)=0,"",_xlfn.MAXIFS('Mug Log'!$A$5:$A$1004,'Mug Log'!$B$5:$B$1004,B68)))</f>
        <v/>
      </c>
      <c r="M68" s="9" t="str">
        <f aca="false">IF(L68="","",SUMIFS('Mug Log'!$D$5:$D$1004,'Mug Log'!$B$5:$B$1004,B68,'Mug Log'!$A$5:$A$1004,L68))</f>
        <v/>
      </c>
      <c r="N68" s="8" t="str">
        <f aca="false">IF(L68="","",L68+Settings!$B$7/24)</f>
        <v/>
      </c>
      <c r="O68" s="8" t="str">
        <f aca="false">IF(N68="","",N68+Settings!$B$6/24)</f>
        <v/>
      </c>
      <c r="P68" s="10" t="str">
        <f aca="false">IF(B68="","",IF(L68="","Never hit",IF(N68&lt;=Settings!$B$8,"READY","Cooldown")))</f>
        <v/>
      </c>
      <c r="Q68" s="11" t="str">
        <f aca="false">IF(P68="Cooldown",N68-Settings!$B$8,"")</f>
        <v/>
      </c>
      <c r="R68" s="12" t="str">
        <f aca="false">IF(B68="","",COUNTIF('Mug Log'!$B$5:$B$1004,B68))</f>
        <v/>
      </c>
      <c r="S68" s="9" t="str">
        <f aca="false">IF(B68="","",SUMIFS('Mug Log'!$D$5:$D$1004,'Mug Log'!$B$5:$B$1004,B68))</f>
        <v/>
      </c>
      <c r="T68" s="9" t="str">
        <f aca="false">IF(OR(B68="",R68=0),"",S68/R68)</f>
        <v/>
      </c>
      <c r="U68" s="4"/>
    </row>
    <row r="69" customFormat="false" ht="15" hidden="false" customHeight="false" outlineLevel="0" collapsed="false">
      <c r="A69" s="4"/>
      <c r="B69" s="5"/>
      <c r="C69" s="4"/>
      <c r="D69" s="6"/>
      <c r="E69" s="4"/>
      <c r="F69" s="4"/>
      <c r="G69" s="6"/>
      <c r="H69" s="4"/>
      <c r="I69" s="4"/>
      <c r="J69" s="7" t="str">
        <f aca="false">IF(B69="","",HYPERLINK("https://www.torn.com/profiles.php?XID="&amp;B69,"Profile"))</f>
        <v/>
      </c>
      <c r="K69" s="7" t="str">
        <f aca="false">IF(B69="","",HYPERLINK("https://www.torn.com/loader.php?sid=attack&amp;user2ID="&amp;B69,"Attack"))</f>
        <v/>
      </c>
      <c r="L69" s="8" t="str">
        <f aca="false">IF(B69="","",IF(COUNTIF('Mug Log'!$B$5:$B$1004,B69)=0,"",_xlfn.MAXIFS('Mug Log'!$A$5:$A$1004,'Mug Log'!$B$5:$B$1004,B69)))</f>
        <v/>
      </c>
      <c r="M69" s="9" t="str">
        <f aca="false">IF(L69="","",SUMIFS('Mug Log'!$D$5:$D$1004,'Mug Log'!$B$5:$B$1004,B69,'Mug Log'!$A$5:$A$1004,L69))</f>
        <v/>
      </c>
      <c r="N69" s="8" t="str">
        <f aca="false">IF(L69="","",L69+Settings!$B$7/24)</f>
        <v/>
      </c>
      <c r="O69" s="8" t="str">
        <f aca="false">IF(N69="","",N69+Settings!$B$6/24)</f>
        <v/>
      </c>
      <c r="P69" s="10" t="str">
        <f aca="false">IF(B69="","",IF(L69="","Never hit",IF(N69&lt;=Settings!$B$8,"READY","Cooldown")))</f>
        <v/>
      </c>
      <c r="Q69" s="11" t="str">
        <f aca="false">IF(P69="Cooldown",N69-Settings!$B$8,"")</f>
        <v/>
      </c>
      <c r="R69" s="12" t="str">
        <f aca="false">IF(B69="","",COUNTIF('Mug Log'!$B$5:$B$1004,B69))</f>
        <v/>
      </c>
      <c r="S69" s="9" t="str">
        <f aca="false">IF(B69="","",SUMIFS('Mug Log'!$D$5:$D$1004,'Mug Log'!$B$5:$B$1004,B69))</f>
        <v/>
      </c>
      <c r="T69" s="9" t="str">
        <f aca="false">IF(OR(B69="",R69=0),"",S69/R69)</f>
        <v/>
      </c>
      <c r="U69" s="4"/>
    </row>
    <row r="70" customFormat="false" ht="15" hidden="false" customHeight="false" outlineLevel="0" collapsed="false">
      <c r="A70" s="4"/>
      <c r="B70" s="5"/>
      <c r="C70" s="4"/>
      <c r="D70" s="6"/>
      <c r="E70" s="4"/>
      <c r="F70" s="4"/>
      <c r="G70" s="6"/>
      <c r="H70" s="4"/>
      <c r="I70" s="4"/>
      <c r="J70" s="7" t="str">
        <f aca="false">IF(B70="","",HYPERLINK("https://www.torn.com/profiles.php?XID="&amp;B70,"Profile"))</f>
        <v/>
      </c>
      <c r="K70" s="7" t="str">
        <f aca="false">IF(B70="","",HYPERLINK("https://www.torn.com/loader.php?sid=attack&amp;user2ID="&amp;B70,"Attack"))</f>
        <v/>
      </c>
      <c r="L70" s="8" t="str">
        <f aca="false">IF(B70="","",IF(COUNTIF('Mug Log'!$B$5:$B$1004,B70)=0,"",_xlfn.MAXIFS('Mug Log'!$A$5:$A$1004,'Mug Log'!$B$5:$B$1004,B70)))</f>
        <v/>
      </c>
      <c r="M70" s="9" t="str">
        <f aca="false">IF(L70="","",SUMIFS('Mug Log'!$D$5:$D$1004,'Mug Log'!$B$5:$B$1004,B70,'Mug Log'!$A$5:$A$1004,L70))</f>
        <v/>
      </c>
      <c r="N70" s="8" t="str">
        <f aca="false">IF(L70="","",L70+Settings!$B$7/24)</f>
        <v/>
      </c>
      <c r="O70" s="8" t="str">
        <f aca="false">IF(N70="","",N70+Settings!$B$6/24)</f>
        <v/>
      </c>
      <c r="P70" s="10" t="str">
        <f aca="false">IF(B70="","",IF(L70="","Never hit",IF(N70&lt;=Settings!$B$8,"READY","Cooldown")))</f>
        <v/>
      </c>
      <c r="Q70" s="11" t="str">
        <f aca="false">IF(P70="Cooldown",N70-Settings!$B$8,"")</f>
        <v/>
      </c>
      <c r="R70" s="12" t="str">
        <f aca="false">IF(B70="","",COUNTIF('Mug Log'!$B$5:$B$1004,B70))</f>
        <v/>
      </c>
      <c r="S70" s="9" t="str">
        <f aca="false">IF(B70="","",SUMIFS('Mug Log'!$D$5:$D$1004,'Mug Log'!$B$5:$B$1004,B70))</f>
        <v/>
      </c>
      <c r="T70" s="9" t="str">
        <f aca="false">IF(OR(B70="",R70=0),"",S70/R70)</f>
        <v/>
      </c>
      <c r="U70" s="4"/>
    </row>
    <row r="71" customFormat="false" ht="15" hidden="false" customHeight="false" outlineLevel="0" collapsed="false">
      <c r="A71" s="4"/>
      <c r="B71" s="5"/>
      <c r="C71" s="4"/>
      <c r="D71" s="6"/>
      <c r="E71" s="4"/>
      <c r="F71" s="4"/>
      <c r="G71" s="6"/>
      <c r="H71" s="4"/>
      <c r="I71" s="4"/>
      <c r="J71" s="7" t="str">
        <f aca="false">IF(B71="","",HYPERLINK("https://www.torn.com/profiles.php?XID="&amp;B71,"Profile"))</f>
        <v/>
      </c>
      <c r="K71" s="7" t="str">
        <f aca="false">IF(B71="","",HYPERLINK("https://www.torn.com/loader.php?sid=attack&amp;user2ID="&amp;B71,"Attack"))</f>
        <v/>
      </c>
      <c r="L71" s="8" t="str">
        <f aca="false">IF(B71="","",IF(COUNTIF('Mug Log'!$B$5:$B$1004,B71)=0,"",_xlfn.MAXIFS('Mug Log'!$A$5:$A$1004,'Mug Log'!$B$5:$B$1004,B71)))</f>
        <v/>
      </c>
      <c r="M71" s="9" t="str">
        <f aca="false">IF(L71="","",SUMIFS('Mug Log'!$D$5:$D$1004,'Mug Log'!$B$5:$B$1004,B71,'Mug Log'!$A$5:$A$1004,L71))</f>
        <v/>
      </c>
      <c r="N71" s="8" t="str">
        <f aca="false">IF(L71="","",L71+Settings!$B$7/24)</f>
        <v/>
      </c>
      <c r="O71" s="8" t="str">
        <f aca="false">IF(N71="","",N71+Settings!$B$6/24)</f>
        <v/>
      </c>
      <c r="P71" s="10" t="str">
        <f aca="false">IF(B71="","",IF(L71="","Never hit",IF(N71&lt;=Settings!$B$8,"READY","Cooldown")))</f>
        <v/>
      </c>
      <c r="Q71" s="11" t="str">
        <f aca="false">IF(P71="Cooldown",N71-Settings!$B$8,"")</f>
        <v/>
      </c>
      <c r="R71" s="12" t="str">
        <f aca="false">IF(B71="","",COUNTIF('Mug Log'!$B$5:$B$1004,B71))</f>
        <v/>
      </c>
      <c r="S71" s="9" t="str">
        <f aca="false">IF(B71="","",SUMIFS('Mug Log'!$D$5:$D$1004,'Mug Log'!$B$5:$B$1004,B71))</f>
        <v/>
      </c>
      <c r="T71" s="9" t="str">
        <f aca="false">IF(OR(B71="",R71=0),"",S71/R71)</f>
        <v/>
      </c>
      <c r="U71" s="4"/>
    </row>
    <row r="72" customFormat="false" ht="15" hidden="false" customHeight="false" outlineLevel="0" collapsed="false">
      <c r="A72" s="4"/>
      <c r="B72" s="5"/>
      <c r="C72" s="4"/>
      <c r="D72" s="6"/>
      <c r="E72" s="4"/>
      <c r="F72" s="4"/>
      <c r="G72" s="6"/>
      <c r="H72" s="4"/>
      <c r="I72" s="4"/>
      <c r="J72" s="7" t="str">
        <f aca="false">IF(B72="","",HYPERLINK("https://www.torn.com/profiles.php?XID="&amp;B72,"Profile"))</f>
        <v/>
      </c>
      <c r="K72" s="7" t="str">
        <f aca="false">IF(B72="","",HYPERLINK("https://www.torn.com/loader.php?sid=attack&amp;user2ID="&amp;B72,"Attack"))</f>
        <v/>
      </c>
      <c r="L72" s="8" t="str">
        <f aca="false">IF(B72="","",IF(COUNTIF('Mug Log'!$B$5:$B$1004,B72)=0,"",_xlfn.MAXIFS('Mug Log'!$A$5:$A$1004,'Mug Log'!$B$5:$B$1004,B72)))</f>
        <v/>
      </c>
      <c r="M72" s="9" t="str">
        <f aca="false">IF(L72="","",SUMIFS('Mug Log'!$D$5:$D$1004,'Mug Log'!$B$5:$B$1004,B72,'Mug Log'!$A$5:$A$1004,L72))</f>
        <v/>
      </c>
      <c r="N72" s="8" t="str">
        <f aca="false">IF(L72="","",L72+Settings!$B$7/24)</f>
        <v/>
      </c>
      <c r="O72" s="8" t="str">
        <f aca="false">IF(N72="","",N72+Settings!$B$6/24)</f>
        <v/>
      </c>
      <c r="P72" s="10" t="str">
        <f aca="false">IF(B72="","",IF(L72="","Never hit",IF(N72&lt;=Settings!$B$8,"READY","Cooldown")))</f>
        <v/>
      </c>
      <c r="Q72" s="11" t="str">
        <f aca="false">IF(P72="Cooldown",N72-Settings!$B$8,"")</f>
        <v/>
      </c>
      <c r="R72" s="12" t="str">
        <f aca="false">IF(B72="","",COUNTIF('Mug Log'!$B$5:$B$1004,B72))</f>
        <v/>
      </c>
      <c r="S72" s="9" t="str">
        <f aca="false">IF(B72="","",SUMIFS('Mug Log'!$D$5:$D$1004,'Mug Log'!$B$5:$B$1004,B72))</f>
        <v/>
      </c>
      <c r="T72" s="9" t="str">
        <f aca="false">IF(OR(B72="",R72=0),"",S72/R72)</f>
        <v/>
      </c>
      <c r="U72" s="4"/>
    </row>
    <row r="73" customFormat="false" ht="15" hidden="false" customHeight="false" outlineLevel="0" collapsed="false">
      <c r="A73" s="4"/>
      <c r="B73" s="5"/>
      <c r="C73" s="4"/>
      <c r="D73" s="6"/>
      <c r="E73" s="4"/>
      <c r="F73" s="4"/>
      <c r="G73" s="6"/>
      <c r="H73" s="4"/>
      <c r="I73" s="4"/>
      <c r="J73" s="7" t="str">
        <f aca="false">IF(B73="","",HYPERLINK("https://www.torn.com/profiles.php?XID="&amp;B73,"Profile"))</f>
        <v/>
      </c>
      <c r="K73" s="7" t="str">
        <f aca="false">IF(B73="","",HYPERLINK("https://www.torn.com/loader.php?sid=attack&amp;user2ID="&amp;B73,"Attack"))</f>
        <v/>
      </c>
      <c r="L73" s="8" t="str">
        <f aca="false">IF(B73="","",IF(COUNTIF('Mug Log'!$B$5:$B$1004,B73)=0,"",_xlfn.MAXIFS('Mug Log'!$A$5:$A$1004,'Mug Log'!$B$5:$B$1004,B73)))</f>
        <v/>
      </c>
      <c r="M73" s="9" t="str">
        <f aca="false">IF(L73="","",SUMIFS('Mug Log'!$D$5:$D$1004,'Mug Log'!$B$5:$B$1004,B73,'Mug Log'!$A$5:$A$1004,L73))</f>
        <v/>
      </c>
      <c r="N73" s="8" t="str">
        <f aca="false">IF(L73="","",L73+Settings!$B$7/24)</f>
        <v/>
      </c>
      <c r="O73" s="8" t="str">
        <f aca="false">IF(N73="","",N73+Settings!$B$6/24)</f>
        <v/>
      </c>
      <c r="P73" s="10" t="str">
        <f aca="false">IF(B73="","",IF(L73="","Never hit",IF(N73&lt;=Settings!$B$8,"READY","Cooldown")))</f>
        <v/>
      </c>
      <c r="Q73" s="11" t="str">
        <f aca="false">IF(P73="Cooldown",N73-Settings!$B$8,"")</f>
        <v/>
      </c>
      <c r="R73" s="12" t="str">
        <f aca="false">IF(B73="","",COUNTIF('Mug Log'!$B$5:$B$1004,B73))</f>
        <v/>
      </c>
      <c r="S73" s="9" t="str">
        <f aca="false">IF(B73="","",SUMIFS('Mug Log'!$D$5:$D$1004,'Mug Log'!$B$5:$B$1004,B73))</f>
        <v/>
      </c>
      <c r="T73" s="9" t="str">
        <f aca="false">IF(OR(B73="",R73=0),"",S73/R73)</f>
        <v/>
      </c>
      <c r="U73" s="4"/>
    </row>
    <row r="74" customFormat="false" ht="15" hidden="false" customHeight="false" outlineLevel="0" collapsed="false">
      <c r="A74" s="4"/>
      <c r="B74" s="5"/>
      <c r="C74" s="4"/>
      <c r="D74" s="6"/>
      <c r="E74" s="4"/>
      <c r="F74" s="4"/>
      <c r="G74" s="6"/>
      <c r="H74" s="4"/>
      <c r="I74" s="4"/>
      <c r="J74" s="7" t="str">
        <f aca="false">IF(B74="","",HYPERLINK("https://www.torn.com/profiles.php?XID="&amp;B74,"Profile"))</f>
        <v/>
      </c>
      <c r="K74" s="7" t="str">
        <f aca="false">IF(B74="","",HYPERLINK("https://www.torn.com/loader.php?sid=attack&amp;user2ID="&amp;B74,"Attack"))</f>
        <v/>
      </c>
      <c r="L74" s="8" t="str">
        <f aca="false">IF(B74="","",IF(COUNTIF('Mug Log'!$B$5:$B$1004,B74)=0,"",_xlfn.MAXIFS('Mug Log'!$A$5:$A$1004,'Mug Log'!$B$5:$B$1004,B74)))</f>
        <v/>
      </c>
      <c r="M74" s="9" t="str">
        <f aca="false">IF(L74="","",SUMIFS('Mug Log'!$D$5:$D$1004,'Mug Log'!$B$5:$B$1004,B74,'Mug Log'!$A$5:$A$1004,L74))</f>
        <v/>
      </c>
      <c r="N74" s="8" t="str">
        <f aca="false">IF(L74="","",L74+Settings!$B$7/24)</f>
        <v/>
      </c>
      <c r="O74" s="8" t="str">
        <f aca="false">IF(N74="","",N74+Settings!$B$6/24)</f>
        <v/>
      </c>
      <c r="P74" s="10" t="str">
        <f aca="false">IF(B74="","",IF(L74="","Never hit",IF(N74&lt;=Settings!$B$8,"READY","Cooldown")))</f>
        <v/>
      </c>
      <c r="Q74" s="11" t="str">
        <f aca="false">IF(P74="Cooldown",N74-Settings!$B$8,"")</f>
        <v/>
      </c>
      <c r="R74" s="12" t="str">
        <f aca="false">IF(B74="","",COUNTIF('Mug Log'!$B$5:$B$1004,B74))</f>
        <v/>
      </c>
      <c r="S74" s="9" t="str">
        <f aca="false">IF(B74="","",SUMIFS('Mug Log'!$D$5:$D$1004,'Mug Log'!$B$5:$B$1004,B74))</f>
        <v/>
      </c>
      <c r="T74" s="9" t="str">
        <f aca="false">IF(OR(B74="",R74=0),"",S74/R74)</f>
        <v/>
      </c>
      <c r="U74" s="4"/>
    </row>
    <row r="75" customFormat="false" ht="15" hidden="false" customHeight="false" outlineLevel="0" collapsed="false">
      <c r="A75" s="4"/>
      <c r="B75" s="5"/>
      <c r="C75" s="4"/>
      <c r="D75" s="6"/>
      <c r="E75" s="4"/>
      <c r="F75" s="4"/>
      <c r="G75" s="6"/>
      <c r="H75" s="4"/>
      <c r="I75" s="4"/>
      <c r="J75" s="7" t="str">
        <f aca="false">IF(B75="","",HYPERLINK("https://www.torn.com/profiles.php?XID="&amp;B75,"Profile"))</f>
        <v/>
      </c>
      <c r="K75" s="7" t="str">
        <f aca="false">IF(B75="","",HYPERLINK("https://www.torn.com/loader.php?sid=attack&amp;user2ID="&amp;B75,"Attack"))</f>
        <v/>
      </c>
      <c r="L75" s="8" t="str">
        <f aca="false">IF(B75="","",IF(COUNTIF('Mug Log'!$B$5:$B$1004,B75)=0,"",_xlfn.MAXIFS('Mug Log'!$A$5:$A$1004,'Mug Log'!$B$5:$B$1004,B75)))</f>
        <v/>
      </c>
      <c r="M75" s="9" t="str">
        <f aca="false">IF(L75="","",SUMIFS('Mug Log'!$D$5:$D$1004,'Mug Log'!$B$5:$B$1004,B75,'Mug Log'!$A$5:$A$1004,L75))</f>
        <v/>
      </c>
      <c r="N75" s="8" t="str">
        <f aca="false">IF(L75="","",L75+Settings!$B$7/24)</f>
        <v/>
      </c>
      <c r="O75" s="8" t="str">
        <f aca="false">IF(N75="","",N75+Settings!$B$6/24)</f>
        <v/>
      </c>
      <c r="P75" s="10" t="str">
        <f aca="false">IF(B75="","",IF(L75="","Never hit",IF(N75&lt;=Settings!$B$8,"READY","Cooldown")))</f>
        <v/>
      </c>
      <c r="Q75" s="11" t="str">
        <f aca="false">IF(P75="Cooldown",N75-Settings!$B$8,"")</f>
        <v/>
      </c>
      <c r="R75" s="12" t="str">
        <f aca="false">IF(B75="","",COUNTIF('Mug Log'!$B$5:$B$1004,B75))</f>
        <v/>
      </c>
      <c r="S75" s="9" t="str">
        <f aca="false">IF(B75="","",SUMIFS('Mug Log'!$D$5:$D$1004,'Mug Log'!$B$5:$B$1004,B75))</f>
        <v/>
      </c>
      <c r="T75" s="9" t="str">
        <f aca="false">IF(OR(B75="",R75=0),"",S75/R75)</f>
        <v/>
      </c>
      <c r="U75" s="4"/>
    </row>
    <row r="76" customFormat="false" ht="15" hidden="false" customHeight="false" outlineLevel="0" collapsed="false">
      <c r="A76" s="4"/>
      <c r="B76" s="5"/>
      <c r="C76" s="4"/>
      <c r="D76" s="6"/>
      <c r="E76" s="4"/>
      <c r="F76" s="4"/>
      <c r="G76" s="6"/>
      <c r="H76" s="4"/>
      <c r="I76" s="4"/>
      <c r="J76" s="7" t="str">
        <f aca="false">IF(B76="","",HYPERLINK("https://www.torn.com/profiles.php?XID="&amp;B76,"Profile"))</f>
        <v/>
      </c>
      <c r="K76" s="7" t="str">
        <f aca="false">IF(B76="","",HYPERLINK("https://www.torn.com/loader.php?sid=attack&amp;user2ID="&amp;B76,"Attack"))</f>
        <v/>
      </c>
      <c r="L76" s="8" t="str">
        <f aca="false">IF(B76="","",IF(COUNTIF('Mug Log'!$B$5:$B$1004,B76)=0,"",_xlfn.MAXIFS('Mug Log'!$A$5:$A$1004,'Mug Log'!$B$5:$B$1004,B76)))</f>
        <v/>
      </c>
      <c r="M76" s="9" t="str">
        <f aca="false">IF(L76="","",SUMIFS('Mug Log'!$D$5:$D$1004,'Mug Log'!$B$5:$B$1004,B76,'Mug Log'!$A$5:$A$1004,L76))</f>
        <v/>
      </c>
      <c r="N76" s="8" t="str">
        <f aca="false">IF(L76="","",L76+Settings!$B$7/24)</f>
        <v/>
      </c>
      <c r="O76" s="8" t="str">
        <f aca="false">IF(N76="","",N76+Settings!$B$6/24)</f>
        <v/>
      </c>
      <c r="P76" s="10" t="str">
        <f aca="false">IF(B76="","",IF(L76="","Never hit",IF(N76&lt;=Settings!$B$8,"READY","Cooldown")))</f>
        <v/>
      </c>
      <c r="Q76" s="11" t="str">
        <f aca="false">IF(P76="Cooldown",N76-Settings!$B$8,"")</f>
        <v/>
      </c>
      <c r="R76" s="12" t="str">
        <f aca="false">IF(B76="","",COUNTIF('Mug Log'!$B$5:$B$1004,B76))</f>
        <v/>
      </c>
      <c r="S76" s="9" t="str">
        <f aca="false">IF(B76="","",SUMIFS('Mug Log'!$D$5:$D$1004,'Mug Log'!$B$5:$B$1004,B76))</f>
        <v/>
      </c>
      <c r="T76" s="9" t="str">
        <f aca="false">IF(OR(B76="",R76=0),"",S76/R76)</f>
        <v/>
      </c>
      <c r="U76" s="4"/>
    </row>
    <row r="77" customFormat="false" ht="15" hidden="false" customHeight="false" outlineLevel="0" collapsed="false">
      <c r="A77" s="4"/>
      <c r="B77" s="5"/>
      <c r="C77" s="4"/>
      <c r="D77" s="6"/>
      <c r="E77" s="4"/>
      <c r="F77" s="4"/>
      <c r="G77" s="6"/>
      <c r="H77" s="4"/>
      <c r="I77" s="4"/>
      <c r="J77" s="7" t="str">
        <f aca="false">IF(B77="","",HYPERLINK("https://www.torn.com/profiles.php?XID="&amp;B77,"Profile"))</f>
        <v/>
      </c>
      <c r="K77" s="7" t="str">
        <f aca="false">IF(B77="","",HYPERLINK("https://www.torn.com/loader.php?sid=attack&amp;user2ID="&amp;B77,"Attack"))</f>
        <v/>
      </c>
      <c r="L77" s="8" t="str">
        <f aca="false">IF(B77="","",IF(COUNTIF('Mug Log'!$B$5:$B$1004,B77)=0,"",_xlfn.MAXIFS('Mug Log'!$A$5:$A$1004,'Mug Log'!$B$5:$B$1004,B77)))</f>
        <v/>
      </c>
      <c r="M77" s="9" t="str">
        <f aca="false">IF(L77="","",SUMIFS('Mug Log'!$D$5:$D$1004,'Mug Log'!$B$5:$B$1004,B77,'Mug Log'!$A$5:$A$1004,L77))</f>
        <v/>
      </c>
      <c r="N77" s="8" t="str">
        <f aca="false">IF(L77="","",L77+Settings!$B$7/24)</f>
        <v/>
      </c>
      <c r="O77" s="8" t="str">
        <f aca="false">IF(N77="","",N77+Settings!$B$6/24)</f>
        <v/>
      </c>
      <c r="P77" s="10" t="str">
        <f aca="false">IF(B77="","",IF(L77="","Never hit",IF(N77&lt;=Settings!$B$8,"READY","Cooldown")))</f>
        <v/>
      </c>
      <c r="Q77" s="11" t="str">
        <f aca="false">IF(P77="Cooldown",N77-Settings!$B$8,"")</f>
        <v/>
      </c>
      <c r="R77" s="12" t="str">
        <f aca="false">IF(B77="","",COUNTIF('Mug Log'!$B$5:$B$1004,B77))</f>
        <v/>
      </c>
      <c r="S77" s="9" t="str">
        <f aca="false">IF(B77="","",SUMIFS('Mug Log'!$D$5:$D$1004,'Mug Log'!$B$5:$B$1004,B77))</f>
        <v/>
      </c>
      <c r="T77" s="9" t="str">
        <f aca="false">IF(OR(B77="",R77=0),"",S77/R77)</f>
        <v/>
      </c>
      <c r="U77" s="4"/>
    </row>
    <row r="78" customFormat="false" ht="15" hidden="false" customHeight="false" outlineLevel="0" collapsed="false">
      <c r="A78" s="4"/>
      <c r="B78" s="5"/>
      <c r="C78" s="4"/>
      <c r="D78" s="6"/>
      <c r="E78" s="4"/>
      <c r="F78" s="4"/>
      <c r="G78" s="6"/>
      <c r="H78" s="4"/>
      <c r="I78" s="4"/>
      <c r="J78" s="7" t="str">
        <f aca="false">IF(B78="","",HYPERLINK("https://www.torn.com/profiles.php?XID="&amp;B78,"Profile"))</f>
        <v/>
      </c>
      <c r="K78" s="7" t="str">
        <f aca="false">IF(B78="","",HYPERLINK("https://www.torn.com/loader.php?sid=attack&amp;user2ID="&amp;B78,"Attack"))</f>
        <v/>
      </c>
      <c r="L78" s="8" t="str">
        <f aca="false">IF(B78="","",IF(COUNTIF('Mug Log'!$B$5:$B$1004,B78)=0,"",_xlfn.MAXIFS('Mug Log'!$A$5:$A$1004,'Mug Log'!$B$5:$B$1004,B78)))</f>
        <v/>
      </c>
      <c r="M78" s="9" t="str">
        <f aca="false">IF(L78="","",SUMIFS('Mug Log'!$D$5:$D$1004,'Mug Log'!$B$5:$B$1004,B78,'Mug Log'!$A$5:$A$1004,L78))</f>
        <v/>
      </c>
      <c r="N78" s="8" t="str">
        <f aca="false">IF(L78="","",L78+Settings!$B$7/24)</f>
        <v/>
      </c>
      <c r="O78" s="8" t="str">
        <f aca="false">IF(N78="","",N78+Settings!$B$6/24)</f>
        <v/>
      </c>
      <c r="P78" s="10" t="str">
        <f aca="false">IF(B78="","",IF(L78="","Never hit",IF(N78&lt;=Settings!$B$8,"READY","Cooldown")))</f>
        <v/>
      </c>
      <c r="Q78" s="11" t="str">
        <f aca="false">IF(P78="Cooldown",N78-Settings!$B$8,"")</f>
        <v/>
      </c>
      <c r="R78" s="12" t="str">
        <f aca="false">IF(B78="","",COUNTIF('Mug Log'!$B$5:$B$1004,B78))</f>
        <v/>
      </c>
      <c r="S78" s="9" t="str">
        <f aca="false">IF(B78="","",SUMIFS('Mug Log'!$D$5:$D$1004,'Mug Log'!$B$5:$B$1004,B78))</f>
        <v/>
      </c>
      <c r="T78" s="9" t="str">
        <f aca="false">IF(OR(B78="",R78=0),"",S78/R78)</f>
        <v/>
      </c>
      <c r="U78" s="4"/>
    </row>
    <row r="79" customFormat="false" ht="15" hidden="false" customHeight="false" outlineLevel="0" collapsed="false">
      <c r="A79" s="4"/>
      <c r="B79" s="5"/>
      <c r="C79" s="4"/>
      <c r="D79" s="6"/>
      <c r="E79" s="4"/>
      <c r="F79" s="4"/>
      <c r="G79" s="6"/>
      <c r="H79" s="4"/>
      <c r="I79" s="4"/>
      <c r="J79" s="7" t="str">
        <f aca="false">IF(B79="","",HYPERLINK("https://www.torn.com/profiles.php?XID="&amp;B79,"Profile"))</f>
        <v/>
      </c>
      <c r="K79" s="7" t="str">
        <f aca="false">IF(B79="","",HYPERLINK("https://www.torn.com/loader.php?sid=attack&amp;user2ID="&amp;B79,"Attack"))</f>
        <v/>
      </c>
      <c r="L79" s="8" t="str">
        <f aca="false">IF(B79="","",IF(COUNTIF('Mug Log'!$B$5:$B$1004,B79)=0,"",_xlfn.MAXIFS('Mug Log'!$A$5:$A$1004,'Mug Log'!$B$5:$B$1004,B79)))</f>
        <v/>
      </c>
      <c r="M79" s="9" t="str">
        <f aca="false">IF(L79="","",SUMIFS('Mug Log'!$D$5:$D$1004,'Mug Log'!$B$5:$B$1004,B79,'Mug Log'!$A$5:$A$1004,L79))</f>
        <v/>
      </c>
      <c r="N79" s="8" t="str">
        <f aca="false">IF(L79="","",L79+Settings!$B$7/24)</f>
        <v/>
      </c>
      <c r="O79" s="8" t="str">
        <f aca="false">IF(N79="","",N79+Settings!$B$6/24)</f>
        <v/>
      </c>
      <c r="P79" s="10" t="str">
        <f aca="false">IF(B79="","",IF(L79="","Never hit",IF(N79&lt;=Settings!$B$8,"READY","Cooldown")))</f>
        <v/>
      </c>
      <c r="Q79" s="11" t="str">
        <f aca="false">IF(P79="Cooldown",N79-Settings!$B$8,"")</f>
        <v/>
      </c>
      <c r="R79" s="12" t="str">
        <f aca="false">IF(B79="","",COUNTIF('Mug Log'!$B$5:$B$1004,B79))</f>
        <v/>
      </c>
      <c r="S79" s="9" t="str">
        <f aca="false">IF(B79="","",SUMIFS('Mug Log'!$D$5:$D$1004,'Mug Log'!$B$5:$B$1004,B79))</f>
        <v/>
      </c>
      <c r="T79" s="9" t="str">
        <f aca="false">IF(OR(B79="",R79=0),"",S79/R79)</f>
        <v/>
      </c>
      <c r="U79" s="4"/>
    </row>
    <row r="80" customFormat="false" ht="15" hidden="false" customHeight="false" outlineLevel="0" collapsed="false">
      <c r="A80" s="4"/>
      <c r="B80" s="5"/>
      <c r="C80" s="4"/>
      <c r="D80" s="6"/>
      <c r="E80" s="4"/>
      <c r="F80" s="4"/>
      <c r="G80" s="6"/>
      <c r="H80" s="4"/>
      <c r="I80" s="4"/>
      <c r="J80" s="7" t="str">
        <f aca="false">IF(B80="","",HYPERLINK("https://www.torn.com/profiles.php?XID="&amp;B80,"Profile"))</f>
        <v/>
      </c>
      <c r="K80" s="7" t="str">
        <f aca="false">IF(B80="","",HYPERLINK("https://www.torn.com/loader.php?sid=attack&amp;user2ID="&amp;B80,"Attack"))</f>
        <v/>
      </c>
      <c r="L80" s="8" t="str">
        <f aca="false">IF(B80="","",IF(COUNTIF('Mug Log'!$B$5:$B$1004,B80)=0,"",_xlfn.MAXIFS('Mug Log'!$A$5:$A$1004,'Mug Log'!$B$5:$B$1004,B80)))</f>
        <v/>
      </c>
      <c r="M80" s="9" t="str">
        <f aca="false">IF(L80="","",SUMIFS('Mug Log'!$D$5:$D$1004,'Mug Log'!$B$5:$B$1004,B80,'Mug Log'!$A$5:$A$1004,L80))</f>
        <v/>
      </c>
      <c r="N80" s="8" t="str">
        <f aca="false">IF(L80="","",L80+Settings!$B$7/24)</f>
        <v/>
      </c>
      <c r="O80" s="8" t="str">
        <f aca="false">IF(N80="","",N80+Settings!$B$6/24)</f>
        <v/>
      </c>
      <c r="P80" s="10" t="str">
        <f aca="false">IF(B80="","",IF(L80="","Never hit",IF(N80&lt;=Settings!$B$8,"READY","Cooldown")))</f>
        <v/>
      </c>
      <c r="Q80" s="11" t="str">
        <f aca="false">IF(P80="Cooldown",N80-Settings!$B$8,"")</f>
        <v/>
      </c>
      <c r="R80" s="12" t="str">
        <f aca="false">IF(B80="","",COUNTIF('Mug Log'!$B$5:$B$1004,B80))</f>
        <v/>
      </c>
      <c r="S80" s="9" t="str">
        <f aca="false">IF(B80="","",SUMIFS('Mug Log'!$D$5:$D$1004,'Mug Log'!$B$5:$B$1004,B80))</f>
        <v/>
      </c>
      <c r="T80" s="9" t="str">
        <f aca="false">IF(OR(B80="",R80=0),"",S80/R80)</f>
        <v/>
      </c>
      <c r="U80" s="4"/>
    </row>
    <row r="81" customFormat="false" ht="15" hidden="false" customHeight="false" outlineLevel="0" collapsed="false">
      <c r="A81" s="4"/>
      <c r="B81" s="5"/>
      <c r="C81" s="4"/>
      <c r="D81" s="6"/>
      <c r="E81" s="4"/>
      <c r="F81" s="4"/>
      <c r="G81" s="6"/>
      <c r="H81" s="4"/>
      <c r="I81" s="4"/>
      <c r="J81" s="7" t="str">
        <f aca="false">IF(B81="","",HYPERLINK("https://www.torn.com/profiles.php?XID="&amp;B81,"Profile"))</f>
        <v/>
      </c>
      <c r="K81" s="7" t="str">
        <f aca="false">IF(B81="","",HYPERLINK("https://www.torn.com/loader.php?sid=attack&amp;user2ID="&amp;B81,"Attack"))</f>
        <v/>
      </c>
      <c r="L81" s="8" t="str">
        <f aca="false">IF(B81="","",IF(COUNTIF('Mug Log'!$B$5:$B$1004,B81)=0,"",_xlfn.MAXIFS('Mug Log'!$A$5:$A$1004,'Mug Log'!$B$5:$B$1004,B81)))</f>
        <v/>
      </c>
      <c r="M81" s="9" t="str">
        <f aca="false">IF(L81="","",SUMIFS('Mug Log'!$D$5:$D$1004,'Mug Log'!$B$5:$B$1004,B81,'Mug Log'!$A$5:$A$1004,L81))</f>
        <v/>
      </c>
      <c r="N81" s="8" t="str">
        <f aca="false">IF(L81="","",L81+Settings!$B$7/24)</f>
        <v/>
      </c>
      <c r="O81" s="8" t="str">
        <f aca="false">IF(N81="","",N81+Settings!$B$6/24)</f>
        <v/>
      </c>
      <c r="P81" s="10" t="str">
        <f aca="false">IF(B81="","",IF(L81="","Never hit",IF(N81&lt;=Settings!$B$8,"READY","Cooldown")))</f>
        <v/>
      </c>
      <c r="Q81" s="11" t="str">
        <f aca="false">IF(P81="Cooldown",N81-Settings!$B$8,"")</f>
        <v/>
      </c>
      <c r="R81" s="12" t="str">
        <f aca="false">IF(B81="","",COUNTIF('Mug Log'!$B$5:$B$1004,B81))</f>
        <v/>
      </c>
      <c r="S81" s="9" t="str">
        <f aca="false">IF(B81="","",SUMIFS('Mug Log'!$D$5:$D$1004,'Mug Log'!$B$5:$B$1004,B81))</f>
        <v/>
      </c>
      <c r="T81" s="9" t="str">
        <f aca="false">IF(OR(B81="",R81=0),"",S81/R81)</f>
        <v/>
      </c>
      <c r="U81" s="4"/>
    </row>
    <row r="82" customFormat="false" ht="15" hidden="false" customHeight="false" outlineLevel="0" collapsed="false">
      <c r="A82" s="4"/>
      <c r="B82" s="5"/>
      <c r="C82" s="4"/>
      <c r="D82" s="6"/>
      <c r="E82" s="4"/>
      <c r="F82" s="4"/>
      <c r="G82" s="6"/>
      <c r="H82" s="4"/>
      <c r="I82" s="4"/>
      <c r="J82" s="7" t="str">
        <f aca="false">IF(B82="","",HYPERLINK("https://www.torn.com/profiles.php?XID="&amp;B82,"Profile"))</f>
        <v/>
      </c>
      <c r="K82" s="7" t="str">
        <f aca="false">IF(B82="","",HYPERLINK("https://www.torn.com/loader.php?sid=attack&amp;user2ID="&amp;B82,"Attack"))</f>
        <v/>
      </c>
      <c r="L82" s="8" t="str">
        <f aca="false">IF(B82="","",IF(COUNTIF('Mug Log'!$B$5:$B$1004,B82)=0,"",_xlfn.MAXIFS('Mug Log'!$A$5:$A$1004,'Mug Log'!$B$5:$B$1004,B82)))</f>
        <v/>
      </c>
      <c r="M82" s="9" t="str">
        <f aca="false">IF(L82="","",SUMIFS('Mug Log'!$D$5:$D$1004,'Mug Log'!$B$5:$B$1004,B82,'Mug Log'!$A$5:$A$1004,L82))</f>
        <v/>
      </c>
      <c r="N82" s="8" t="str">
        <f aca="false">IF(L82="","",L82+Settings!$B$7/24)</f>
        <v/>
      </c>
      <c r="O82" s="8" t="str">
        <f aca="false">IF(N82="","",N82+Settings!$B$6/24)</f>
        <v/>
      </c>
      <c r="P82" s="10" t="str">
        <f aca="false">IF(B82="","",IF(L82="","Never hit",IF(N82&lt;=Settings!$B$8,"READY","Cooldown")))</f>
        <v/>
      </c>
      <c r="Q82" s="11" t="str">
        <f aca="false">IF(P82="Cooldown",N82-Settings!$B$8,"")</f>
        <v/>
      </c>
      <c r="R82" s="12" t="str">
        <f aca="false">IF(B82="","",COUNTIF('Mug Log'!$B$5:$B$1004,B82))</f>
        <v/>
      </c>
      <c r="S82" s="9" t="str">
        <f aca="false">IF(B82="","",SUMIFS('Mug Log'!$D$5:$D$1004,'Mug Log'!$B$5:$B$1004,B82))</f>
        <v/>
      </c>
      <c r="T82" s="9" t="str">
        <f aca="false">IF(OR(B82="",R82=0),"",S82/R82)</f>
        <v/>
      </c>
      <c r="U82" s="4"/>
    </row>
    <row r="83" customFormat="false" ht="15" hidden="false" customHeight="false" outlineLevel="0" collapsed="false">
      <c r="A83" s="4"/>
      <c r="B83" s="5"/>
      <c r="C83" s="4"/>
      <c r="D83" s="6"/>
      <c r="E83" s="4"/>
      <c r="F83" s="4"/>
      <c r="G83" s="6"/>
      <c r="H83" s="4"/>
      <c r="I83" s="4"/>
      <c r="J83" s="7" t="str">
        <f aca="false">IF(B83="","",HYPERLINK("https://www.torn.com/profiles.php?XID="&amp;B83,"Profile"))</f>
        <v/>
      </c>
      <c r="K83" s="7" t="str">
        <f aca="false">IF(B83="","",HYPERLINK("https://www.torn.com/loader.php?sid=attack&amp;user2ID="&amp;B83,"Attack"))</f>
        <v/>
      </c>
      <c r="L83" s="8" t="str">
        <f aca="false">IF(B83="","",IF(COUNTIF('Mug Log'!$B$5:$B$1004,B83)=0,"",_xlfn.MAXIFS('Mug Log'!$A$5:$A$1004,'Mug Log'!$B$5:$B$1004,B83)))</f>
        <v/>
      </c>
      <c r="M83" s="9" t="str">
        <f aca="false">IF(L83="","",SUMIFS('Mug Log'!$D$5:$D$1004,'Mug Log'!$B$5:$B$1004,B83,'Mug Log'!$A$5:$A$1004,L83))</f>
        <v/>
      </c>
      <c r="N83" s="8" t="str">
        <f aca="false">IF(L83="","",L83+Settings!$B$7/24)</f>
        <v/>
      </c>
      <c r="O83" s="8" t="str">
        <f aca="false">IF(N83="","",N83+Settings!$B$6/24)</f>
        <v/>
      </c>
      <c r="P83" s="10" t="str">
        <f aca="false">IF(B83="","",IF(L83="","Never hit",IF(N83&lt;=Settings!$B$8,"READY","Cooldown")))</f>
        <v/>
      </c>
      <c r="Q83" s="11" t="str">
        <f aca="false">IF(P83="Cooldown",N83-Settings!$B$8,"")</f>
        <v/>
      </c>
      <c r="R83" s="12" t="str">
        <f aca="false">IF(B83="","",COUNTIF('Mug Log'!$B$5:$B$1004,B83))</f>
        <v/>
      </c>
      <c r="S83" s="9" t="str">
        <f aca="false">IF(B83="","",SUMIFS('Mug Log'!$D$5:$D$1004,'Mug Log'!$B$5:$B$1004,B83))</f>
        <v/>
      </c>
      <c r="T83" s="9" t="str">
        <f aca="false">IF(OR(B83="",R83=0),"",S83/R83)</f>
        <v/>
      </c>
      <c r="U83" s="4"/>
    </row>
    <row r="84" customFormat="false" ht="15" hidden="false" customHeight="false" outlineLevel="0" collapsed="false">
      <c r="A84" s="4"/>
      <c r="B84" s="5"/>
      <c r="C84" s="4"/>
      <c r="D84" s="6"/>
      <c r="E84" s="4"/>
      <c r="F84" s="4"/>
      <c r="G84" s="6"/>
      <c r="H84" s="4"/>
      <c r="I84" s="4"/>
      <c r="J84" s="7" t="str">
        <f aca="false">IF(B84="","",HYPERLINK("https://www.torn.com/profiles.php?XID="&amp;B84,"Profile"))</f>
        <v/>
      </c>
      <c r="K84" s="7" t="str">
        <f aca="false">IF(B84="","",HYPERLINK("https://www.torn.com/loader.php?sid=attack&amp;user2ID="&amp;B84,"Attack"))</f>
        <v/>
      </c>
      <c r="L84" s="8" t="str">
        <f aca="false">IF(B84="","",IF(COUNTIF('Mug Log'!$B$5:$B$1004,B84)=0,"",_xlfn.MAXIFS('Mug Log'!$A$5:$A$1004,'Mug Log'!$B$5:$B$1004,B84)))</f>
        <v/>
      </c>
      <c r="M84" s="9" t="str">
        <f aca="false">IF(L84="","",SUMIFS('Mug Log'!$D$5:$D$1004,'Mug Log'!$B$5:$B$1004,B84,'Mug Log'!$A$5:$A$1004,L84))</f>
        <v/>
      </c>
      <c r="N84" s="8" t="str">
        <f aca="false">IF(L84="","",L84+Settings!$B$7/24)</f>
        <v/>
      </c>
      <c r="O84" s="8" t="str">
        <f aca="false">IF(N84="","",N84+Settings!$B$6/24)</f>
        <v/>
      </c>
      <c r="P84" s="10" t="str">
        <f aca="false">IF(B84="","",IF(L84="","Never hit",IF(N84&lt;=Settings!$B$8,"READY","Cooldown")))</f>
        <v/>
      </c>
      <c r="Q84" s="11" t="str">
        <f aca="false">IF(P84="Cooldown",N84-Settings!$B$8,"")</f>
        <v/>
      </c>
      <c r="R84" s="12" t="str">
        <f aca="false">IF(B84="","",COUNTIF('Mug Log'!$B$5:$B$1004,B84))</f>
        <v/>
      </c>
      <c r="S84" s="9" t="str">
        <f aca="false">IF(B84="","",SUMIFS('Mug Log'!$D$5:$D$1004,'Mug Log'!$B$5:$B$1004,B84))</f>
        <v/>
      </c>
      <c r="T84" s="9" t="str">
        <f aca="false">IF(OR(B84="",R84=0),"",S84/R84)</f>
        <v/>
      </c>
      <c r="U84" s="4"/>
    </row>
    <row r="85" customFormat="false" ht="15" hidden="false" customHeight="false" outlineLevel="0" collapsed="false">
      <c r="A85" s="4"/>
      <c r="B85" s="5"/>
      <c r="C85" s="4"/>
      <c r="D85" s="6"/>
      <c r="E85" s="4"/>
      <c r="F85" s="4"/>
      <c r="G85" s="6"/>
      <c r="H85" s="4"/>
      <c r="I85" s="4"/>
      <c r="J85" s="7" t="str">
        <f aca="false">IF(B85="","",HYPERLINK("https://www.torn.com/profiles.php?XID="&amp;B85,"Profile"))</f>
        <v/>
      </c>
      <c r="K85" s="7" t="str">
        <f aca="false">IF(B85="","",HYPERLINK("https://www.torn.com/loader.php?sid=attack&amp;user2ID="&amp;B85,"Attack"))</f>
        <v/>
      </c>
      <c r="L85" s="8" t="str">
        <f aca="false">IF(B85="","",IF(COUNTIF('Mug Log'!$B$5:$B$1004,B85)=0,"",_xlfn.MAXIFS('Mug Log'!$A$5:$A$1004,'Mug Log'!$B$5:$B$1004,B85)))</f>
        <v/>
      </c>
      <c r="M85" s="9" t="str">
        <f aca="false">IF(L85="","",SUMIFS('Mug Log'!$D$5:$D$1004,'Mug Log'!$B$5:$B$1004,B85,'Mug Log'!$A$5:$A$1004,L85))</f>
        <v/>
      </c>
      <c r="N85" s="8" t="str">
        <f aca="false">IF(L85="","",L85+Settings!$B$7/24)</f>
        <v/>
      </c>
      <c r="O85" s="8" t="str">
        <f aca="false">IF(N85="","",N85+Settings!$B$6/24)</f>
        <v/>
      </c>
      <c r="P85" s="10" t="str">
        <f aca="false">IF(B85="","",IF(L85="","Never hit",IF(N85&lt;=Settings!$B$8,"READY","Cooldown")))</f>
        <v/>
      </c>
      <c r="Q85" s="11" t="str">
        <f aca="false">IF(P85="Cooldown",N85-Settings!$B$8,"")</f>
        <v/>
      </c>
      <c r="R85" s="12" t="str">
        <f aca="false">IF(B85="","",COUNTIF('Mug Log'!$B$5:$B$1004,B85))</f>
        <v/>
      </c>
      <c r="S85" s="9" t="str">
        <f aca="false">IF(B85="","",SUMIFS('Mug Log'!$D$5:$D$1004,'Mug Log'!$B$5:$B$1004,B85))</f>
        <v/>
      </c>
      <c r="T85" s="9" t="str">
        <f aca="false">IF(OR(B85="",R85=0),"",S85/R85)</f>
        <v/>
      </c>
      <c r="U85" s="4"/>
    </row>
    <row r="86" customFormat="false" ht="15" hidden="false" customHeight="false" outlineLevel="0" collapsed="false">
      <c r="A86" s="4"/>
      <c r="B86" s="5"/>
      <c r="C86" s="4"/>
      <c r="D86" s="6"/>
      <c r="E86" s="4"/>
      <c r="F86" s="4"/>
      <c r="G86" s="6"/>
      <c r="H86" s="4"/>
      <c r="I86" s="4"/>
      <c r="J86" s="7" t="str">
        <f aca="false">IF(B86="","",HYPERLINK("https://www.torn.com/profiles.php?XID="&amp;B86,"Profile"))</f>
        <v/>
      </c>
      <c r="K86" s="7" t="str">
        <f aca="false">IF(B86="","",HYPERLINK("https://www.torn.com/loader.php?sid=attack&amp;user2ID="&amp;B86,"Attack"))</f>
        <v/>
      </c>
      <c r="L86" s="8" t="str">
        <f aca="false">IF(B86="","",IF(COUNTIF('Mug Log'!$B$5:$B$1004,B86)=0,"",_xlfn.MAXIFS('Mug Log'!$A$5:$A$1004,'Mug Log'!$B$5:$B$1004,B86)))</f>
        <v/>
      </c>
      <c r="M86" s="9" t="str">
        <f aca="false">IF(L86="","",SUMIFS('Mug Log'!$D$5:$D$1004,'Mug Log'!$B$5:$B$1004,B86,'Mug Log'!$A$5:$A$1004,L86))</f>
        <v/>
      </c>
      <c r="N86" s="8" t="str">
        <f aca="false">IF(L86="","",L86+Settings!$B$7/24)</f>
        <v/>
      </c>
      <c r="O86" s="8" t="str">
        <f aca="false">IF(N86="","",N86+Settings!$B$6/24)</f>
        <v/>
      </c>
      <c r="P86" s="10" t="str">
        <f aca="false">IF(B86="","",IF(L86="","Never hit",IF(N86&lt;=Settings!$B$8,"READY","Cooldown")))</f>
        <v/>
      </c>
      <c r="Q86" s="11" t="str">
        <f aca="false">IF(P86="Cooldown",N86-Settings!$B$8,"")</f>
        <v/>
      </c>
      <c r="R86" s="12" t="str">
        <f aca="false">IF(B86="","",COUNTIF('Mug Log'!$B$5:$B$1004,B86))</f>
        <v/>
      </c>
      <c r="S86" s="9" t="str">
        <f aca="false">IF(B86="","",SUMIFS('Mug Log'!$D$5:$D$1004,'Mug Log'!$B$5:$B$1004,B86))</f>
        <v/>
      </c>
      <c r="T86" s="9" t="str">
        <f aca="false">IF(OR(B86="",R86=0),"",S86/R86)</f>
        <v/>
      </c>
      <c r="U86" s="4"/>
    </row>
    <row r="87" customFormat="false" ht="15" hidden="false" customHeight="false" outlineLevel="0" collapsed="false">
      <c r="A87" s="4"/>
      <c r="B87" s="5"/>
      <c r="C87" s="4"/>
      <c r="D87" s="6"/>
      <c r="E87" s="4"/>
      <c r="F87" s="4"/>
      <c r="G87" s="6"/>
      <c r="H87" s="4"/>
      <c r="I87" s="4"/>
      <c r="J87" s="7" t="str">
        <f aca="false">IF(B87="","",HYPERLINK("https://www.torn.com/profiles.php?XID="&amp;B87,"Profile"))</f>
        <v/>
      </c>
      <c r="K87" s="7" t="str">
        <f aca="false">IF(B87="","",HYPERLINK("https://www.torn.com/loader.php?sid=attack&amp;user2ID="&amp;B87,"Attack"))</f>
        <v/>
      </c>
      <c r="L87" s="8" t="str">
        <f aca="false">IF(B87="","",IF(COUNTIF('Mug Log'!$B$5:$B$1004,B87)=0,"",_xlfn.MAXIFS('Mug Log'!$A$5:$A$1004,'Mug Log'!$B$5:$B$1004,B87)))</f>
        <v/>
      </c>
      <c r="M87" s="9" t="str">
        <f aca="false">IF(L87="","",SUMIFS('Mug Log'!$D$5:$D$1004,'Mug Log'!$B$5:$B$1004,B87,'Mug Log'!$A$5:$A$1004,L87))</f>
        <v/>
      </c>
      <c r="N87" s="8" t="str">
        <f aca="false">IF(L87="","",L87+Settings!$B$7/24)</f>
        <v/>
      </c>
      <c r="O87" s="8" t="str">
        <f aca="false">IF(N87="","",N87+Settings!$B$6/24)</f>
        <v/>
      </c>
      <c r="P87" s="10" t="str">
        <f aca="false">IF(B87="","",IF(L87="","Never hit",IF(N87&lt;=Settings!$B$8,"READY","Cooldown")))</f>
        <v/>
      </c>
      <c r="Q87" s="11" t="str">
        <f aca="false">IF(P87="Cooldown",N87-Settings!$B$8,"")</f>
        <v/>
      </c>
      <c r="R87" s="12" t="str">
        <f aca="false">IF(B87="","",COUNTIF('Mug Log'!$B$5:$B$1004,B87))</f>
        <v/>
      </c>
      <c r="S87" s="9" t="str">
        <f aca="false">IF(B87="","",SUMIFS('Mug Log'!$D$5:$D$1004,'Mug Log'!$B$5:$B$1004,B87))</f>
        <v/>
      </c>
      <c r="T87" s="9" t="str">
        <f aca="false">IF(OR(B87="",R87=0),"",S87/R87)</f>
        <v/>
      </c>
      <c r="U87" s="4"/>
    </row>
    <row r="88" customFormat="false" ht="15" hidden="false" customHeight="false" outlineLevel="0" collapsed="false">
      <c r="A88" s="4"/>
      <c r="B88" s="5"/>
      <c r="C88" s="4"/>
      <c r="D88" s="6"/>
      <c r="E88" s="4"/>
      <c r="F88" s="4"/>
      <c r="G88" s="6"/>
      <c r="H88" s="4"/>
      <c r="I88" s="4"/>
      <c r="J88" s="7" t="str">
        <f aca="false">IF(B88="","",HYPERLINK("https://www.torn.com/profiles.php?XID="&amp;B88,"Profile"))</f>
        <v/>
      </c>
      <c r="K88" s="7" t="str">
        <f aca="false">IF(B88="","",HYPERLINK("https://www.torn.com/loader.php?sid=attack&amp;user2ID="&amp;B88,"Attack"))</f>
        <v/>
      </c>
      <c r="L88" s="8" t="str">
        <f aca="false">IF(B88="","",IF(COUNTIF('Mug Log'!$B$5:$B$1004,B88)=0,"",_xlfn.MAXIFS('Mug Log'!$A$5:$A$1004,'Mug Log'!$B$5:$B$1004,B88)))</f>
        <v/>
      </c>
      <c r="M88" s="9" t="str">
        <f aca="false">IF(L88="","",SUMIFS('Mug Log'!$D$5:$D$1004,'Mug Log'!$B$5:$B$1004,B88,'Mug Log'!$A$5:$A$1004,L88))</f>
        <v/>
      </c>
      <c r="N88" s="8" t="str">
        <f aca="false">IF(L88="","",L88+Settings!$B$7/24)</f>
        <v/>
      </c>
      <c r="O88" s="8" t="str">
        <f aca="false">IF(N88="","",N88+Settings!$B$6/24)</f>
        <v/>
      </c>
      <c r="P88" s="10" t="str">
        <f aca="false">IF(B88="","",IF(L88="","Never hit",IF(N88&lt;=Settings!$B$8,"READY","Cooldown")))</f>
        <v/>
      </c>
      <c r="Q88" s="11" t="str">
        <f aca="false">IF(P88="Cooldown",N88-Settings!$B$8,"")</f>
        <v/>
      </c>
      <c r="R88" s="12" t="str">
        <f aca="false">IF(B88="","",COUNTIF('Mug Log'!$B$5:$B$1004,B88))</f>
        <v/>
      </c>
      <c r="S88" s="9" t="str">
        <f aca="false">IF(B88="","",SUMIFS('Mug Log'!$D$5:$D$1004,'Mug Log'!$B$5:$B$1004,B88))</f>
        <v/>
      </c>
      <c r="T88" s="9" t="str">
        <f aca="false">IF(OR(B88="",R88=0),"",S88/R88)</f>
        <v/>
      </c>
      <c r="U88" s="4"/>
    </row>
    <row r="89" customFormat="false" ht="15" hidden="false" customHeight="false" outlineLevel="0" collapsed="false">
      <c r="A89" s="4"/>
      <c r="B89" s="5"/>
      <c r="C89" s="4"/>
      <c r="D89" s="6"/>
      <c r="E89" s="4"/>
      <c r="F89" s="4"/>
      <c r="G89" s="6"/>
      <c r="H89" s="4"/>
      <c r="I89" s="4"/>
      <c r="J89" s="7" t="str">
        <f aca="false">IF(B89="","",HYPERLINK("https://www.torn.com/profiles.php?XID="&amp;B89,"Profile"))</f>
        <v/>
      </c>
      <c r="K89" s="7" t="str">
        <f aca="false">IF(B89="","",HYPERLINK("https://www.torn.com/loader.php?sid=attack&amp;user2ID="&amp;B89,"Attack"))</f>
        <v/>
      </c>
      <c r="L89" s="8" t="str">
        <f aca="false">IF(B89="","",IF(COUNTIF('Mug Log'!$B$5:$B$1004,B89)=0,"",_xlfn.MAXIFS('Mug Log'!$A$5:$A$1004,'Mug Log'!$B$5:$B$1004,B89)))</f>
        <v/>
      </c>
      <c r="M89" s="9" t="str">
        <f aca="false">IF(L89="","",SUMIFS('Mug Log'!$D$5:$D$1004,'Mug Log'!$B$5:$B$1004,B89,'Mug Log'!$A$5:$A$1004,L89))</f>
        <v/>
      </c>
      <c r="N89" s="8" t="str">
        <f aca="false">IF(L89="","",L89+Settings!$B$7/24)</f>
        <v/>
      </c>
      <c r="O89" s="8" t="str">
        <f aca="false">IF(N89="","",N89+Settings!$B$6/24)</f>
        <v/>
      </c>
      <c r="P89" s="10" t="str">
        <f aca="false">IF(B89="","",IF(L89="","Never hit",IF(N89&lt;=Settings!$B$8,"READY","Cooldown")))</f>
        <v/>
      </c>
      <c r="Q89" s="11" t="str">
        <f aca="false">IF(P89="Cooldown",N89-Settings!$B$8,"")</f>
        <v/>
      </c>
      <c r="R89" s="12" t="str">
        <f aca="false">IF(B89="","",COUNTIF('Mug Log'!$B$5:$B$1004,B89))</f>
        <v/>
      </c>
      <c r="S89" s="9" t="str">
        <f aca="false">IF(B89="","",SUMIFS('Mug Log'!$D$5:$D$1004,'Mug Log'!$B$5:$B$1004,B89))</f>
        <v/>
      </c>
      <c r="T89" s="9" t="str">
        <f aca="false">IF(OR(B89="",R89=0),"",S89/R89)</f>
        <v/>
      </c>
      <c r="U89" s="4"/>
    </row>
    <row r="90" customFormat="false" ht="15" hidden="false" customHeight="false" outlineLevel="0" collapsed="false">
      <c r="A90" s="4"/>
      <c r="B90" s="5"/>
      <c r="C90" s="4"/>
      <c r="D90" s="6"/>
      <c r="E90" s="4"/>
      <c r="F90" s="4"/>
      <c r="G90" s="6"/>
      <c r="H90" s="4"/>
      <c r="I90" s="4"/>
      <c r="J90" s="7" t="str">
        <f aca="false">IF(B90="","",HYPERLINK("https://www.torn.com/profiles.php?XID="&amp;B90,"Profile"))</f>
        <v/>
      </c>
      <c r="K90" s="7" t="str">
        <f aca="false">IF(B90="","",HYPERLINK("https://www.torn.com/loader.php?sid=attack&amp;user2ID="&amp;B90,"Attack"))</f>
        <v/>
      </c>
      <c r="L90" s="8" t="str">
        <f aca="false">IF(B90="","",IF(COUNTIF('Mug Log'!$B$5:$B$1004,B90)=0,"",_xlfn.MAXIFS('Mug Log'!$A$5:$A$1004,'Mug Log'!$B$5:$B$1004,B90)))</f>
        <v/>
      </c>
      <c r="M90" s="9" t="str">
        <f aca="false">IF(L90="","",SUMIFS('Mug Log'!$D$5:$D$1004,'Mug Log'!$B$5:$B$1004,B90,'Mug Log'!$A$5:$A$1004,L90))</f>
        <v/>
      </c>
      <c r="N90" s="8" t="str">
        <f aca="false">IF(L90="","",L90+Settings!$B$7/24)</f>
        <v/>
      </c>
      <c r="O90" s="8" t="str">
        <f aca="false">IF(N90="","",N90+Settings!$B$6/24)</f>
        <v/>
      </c>
      <c r="P90" s="10" t="str">
        <f aca="false">IF(B90="","",IF(L90="","Never hit",IF(N90&lt;=Settings!$B$8,"READY","Cooldown")))</f>
        <v/>
      </c>
      <c r="Q90" s="11" t="str">
        <f aca="false">IF(P90="Cooldown",N90-Settings!$B$8,"")</f>
        <v/>
      </c>
      <c r="R90" s="12" t="str">
        <f aca="false">IF(B90="","",COUNTIF('Mug Log'!$B$5:$B$1004,B90))</f>
        <v/>
      </c>
      <c r="S90" s="9" t="str">
        <f aca="false">IF(B90="","",SUMIFS('Mug Log'!$D$5:$D$1004,'Mug Log'!$B$5:$B$1004,B90))</f>
        <v/>
      </c>
      <c r="T90" s="9" t="str">
        <f aca="false">IF(OR(B90="",R90=0),"",S90/R90)</f>
        <v/>
      </c>
      <c r="U90" s="4"/>
    </row>
    <row r="91" customFormat="false" ht="15" hidden="false" customHeight="false" outlineLevel="0" collapsed="false">
      <c r="A91" s="4"/>
      <c r="B91" s="5"/>
      <c r="C91" s="4"/>
      <c r="D91" s="6"/>
      <c r="E91" s="4"/>
      <c r="F91" s="4"/>
      <c r="G91" s="6"/>
      <c r="H91" s="4"/>
      <c r="I91" s="4"/>
      <c r="J91" s="7" t="str">
        <f aca="false">IF(B91="","",HYPERLINK("https://www.torn.com/profiles.php?XID="&amp;B91,"Profile"))</f>
        <v/>
      </c>
      <c r="K91" s="7" t="str">
        <f aca="false">IF(B91="","",HYPERLINK("https://www.torn.com/loader.php?sid=attack&amp;user2ID="&amp;B91,"Attack"))</f>
        <v/>
      </c>
      <c r="L91" s="8" t="str">
        <f aca="false">IF(B91="","",IF(COUNTIF('Mug Log'!$B$5:$B$1004,B91)=0,"",_xlfn.MAXIFS('Mug Log'!$A$5:$A$1004,'Mug Log'!$B$5:$B$1004,B91)))</f>
        <v/>
      </c>
      <c r="M91" s="9" t="str">
        <f aca="false">IF(L91="","",SUMIFS('Mug Log'!$D$5:$D$1004,'Mug Log'!$B$5:$B$1004,B91,'Mug Log'!$A$5:$A$1004,L91))</f>
        <v/>
      </c>
      <c r="N91" s="8" t="str">
        <f aca="false">IF(L91="","",L91+Settings!$B$7/24)</f>
        <v/>
      </c>
      <c r="O91" s="8" t="str">
        <f aca="false">IF(N91="","",N91+Settings!$B$6/24)</f>
        <v/>
      </c>
      <c r="P91" s="10" t="str">
        <f aca="false">IF(B91="","",IF(L91="","Never hit",IF(N91&lt;=Settings!$B$8,"READY","Cooldown")))</f>
        <v/>
      </c>
      <c r="Q91" s="11" t="str">
        <f aca="false">IF(P91="Cooldown",N91-Settings!$B$8,"")</f>
        <v/>
      </c>
      <c r="R91" s="12" t="str">
        <f aca="false">IF(B91="","",COUNTIF('Mug Log'!$B$5:$B$1004,B91))</f>
        <v/>
      </c>
      <c r="S91" s="9" t="str">
        <f aca="false">IF(B91="","",SUMIFS('Mug Log'!$D$5:$D$1004,'Mug Log'!$B$5:$B$1004,B91))</f>
        <v/>
      </c>
      <c r="T91" s="9" t="str">
        <f aca="false">IF(OR(B91="",R91=0),"",S91/R91)</f>
        <v/>
      </c>
      <c r="U91" s="4"/>
    </row>
    <row r="92" customFormat="false" ht="15" hidden="false" customHeight="false" outlineLevel="0" collapsed="false">
      <c r="A92" s="4"/>
      <c r="B92" s="5"/>
      <c r="C92" s="4"/>
      <c r="D92" s="6"/>
      <c r="E92" s="4"/>
      <c r="F92" s="4"/>
      <c r="G92" s="6"/>
      <c r="H92" s="4"/>
      <c r="I92" s="4"/>
      <c r="J92" s="7" t="str">
        <f aca="false">IF(B92="","",HYPERLINK("https://www.torn.com/profiles.php?XID="&amp;B92,"Profile"))</f>
        <v/>
      </c>
      <c r="K92" s="7" t="str">
        <f aca="false">IF(B92="","",HYPERLINK("https://www.torn.com/loader.php?sid=attack&amp;user2ID="&amp;B92,"Attack"))</f>
        <v/>
      </c>
      <c r="L92" s="8" t="str">
        <f aca="false">IF(B92="","",IF(COUNTIF('Mug Log'!$B$5:$B$1004,B92)=0,"",_xlfn.MAXIFS('Mug Log'!$A$5:$A$1004,'Mug Log'!$B$5:$B$1004,B92)))</f>
        <v/>
      </c>
      <c r="M92" s="9" t="str">
        <f aca="false">IF(L92="","",SUMIFS('Mug Log'!$D$5:$D$1004,'Mug Log'!$B$5:$B$1004,B92,'Mug Log'!$A$5:$A$1004,L92))</f>
        <v/>
      </c>
      <c r="N92" s="8" t="str">
        <f aca="false">IF(L92="","",L92+Settings!$B$7/24)</f>
        <v/>
      </c>
      <c r="O92" s="8" t="str">
        <f aca="false">IF(N92="","",N92+Settings!$B$6/24)</f>
        <v/>
      </c>
      <c r="P92" s="10" t="str">
        <f aca="false">IF(B92="","",IF(L92="","Never hit",IF(N92&lt;=Settings!$B$8,"READY","Cooldown")))</f>
        <v/>
      </c>
      <c r="Q92" s="11" t="str">
        <f aca="false">IF(P92="Cooldown",N92-Settings!$B$8,"")</f>
        <v/>
      </c>
      <c r="R92" s="12" t="str">
        <f aca="false">IF(B92="","",COUNTIF('Mug Log'!$B$5:$B$1004,B92))</f>
        <v/>
      </c>
      <c r="S92" s="9" t="str">
        <f aca="false">IF(B92="","",SUMIFS('Mug Log'!$D$5:$D$1004,'Mug Log'!$B$5:$B$1004,B92))</f>
        <v/>
      </c>
      <c r="T92" s="9" t="str">
        <f aca="false">IF(OR(B92="",R92=0),"",S92/R92)</f>
        <v/>
      </c>
      <c r="U92" s="4"/>
    </row>
    <row r="93" customFormat="false" ht="15" hidden="false" customHeight="false" outlineLevel="0" collapsed="false">
      <c r="A93" s="4"/>
      <c r="B93" s="5"/>
      <c r="C93" s="4"/>
      <c r="D93" s="6"/>
      <c r="E93" s="4"/>
      <c r="F93" s="4"/>
      <c r="G93" s="6"/>
      <c r="H93" s="4"/>
      <c r="I93" s="4"/>
      <c r="J93" s="7" t="str">
        <f aca="false">IF(B93="","",HYPERLINK("https://www.torn.com/profiles.php?XID="&amp;B93,"Profile"))</f>
        <v/>
      </c>
      <c r="K93" s="7" t="str">
        <f aca="false">IF(B93="","",HYPERLINK("https://www.torn.com/loader.php?sid=attack&amp;user2ID="&amp;B93,"Attack"))</f>
        <v/>
      </c>
      <c r="L93" s="8" t="str">
        <f aca="false">IF(B93="","",IF(COUNTIF('Mug Log'!$B$5:$B$1004,B93)=0,"",_xlfn.MAXIFS('Mug Log'!$A$5:$A$1004,'Mug Log'!$B$5:$B$1004,B93)))</f>
        <v/>
      </c>
      <c r="M93" s="9" t="str">
        <f aca="false">IF(L93="","",SUMIFS('Mug Log'!$D$5:$D$1004,'Mug Log'!$B$5:$B$1004,B93,'Mug Log'!$A$5:$A$1004,L93))</f>
        <v/>
      </c>
      <c r="N93" s="8" t="str">
        <f aca="false">IF(L93="","",L93+Settings!$B$7/24)</f>
        <v/>
      </c>
      <c r="O93" s="8" t="str">
        <f aca="false">IF(N93="","",N93+Settings!$B$6/24)</f>
        <v/>
      </c>
      <c r="P93" s="10" t="str">
        <f aca="false">IF(B93="","",IF(L93="","Never hit",IF(N93&lt;=Settings!$B$8,"READY","Cooldown")))</f>
        <v/>
      </c>
      <c r="Q93" s="11" t="str">
        <f aca="false">IF(P93="Cooldown",N93-Settings!$B$8,"")</f>
        <v/>
      </c>
      <c r="R93" s="12" t="str">
        <f aca="false">IF(B93="","",COUNTIF('Mug Log'!$B$5:$B$1004,B93))</f>
        <v/>
      </c>
      <c r="S93" s="9" t="str">
        <f aca="false">IF(B93="","",SUMIFS('Mug Log'!$D$5:$D$1004,'Mug Log'!$B$5:$B$1004,B93))</f>
        <v/>
      </c>
      <c r="T93" s="9" t="str">
        <f aca="false">IF(OR(B93="",R93=0),"",S93/R93)</f>
        <v/>
      </c>
      <c r="U93" s="4"/>
    </row>
    <row r="94" customFormat="false" ht="15" hidden="false" customHeight="false" outlineLevel="0" collapsed="false">
      <c r="A94" s="4"/>
      <c r="B94" s="5"/>
      <c r="C94" s="4"/>
      <c r="D94" s="6"/>
      <c r="E94" s="4"/>
      <c r="F94" s="4"/>
      <c r="G94" s="6"/>
      <c r="H94" s="4"/>
      <c r="I94" s="4"/>
      <c r="J94" s="7" t="str">
        <f aca="false">IF(B94="","",HYPERLINK("https://www.torn.com/profiles.php?XID="&amp;B94,"Profile"))</f>
        <v/>
      </c>
      <c r="K94" s="7" t="str">
        <f aca="false">IF(B94="","",HYPERLINK("https://www.torn.com/loader.php?sid=attack&amp;user2ID="&amp;B94,"Attack"))</f>
        <v/>
      </c>
      <c r="L94" s="8" t="str">
        <f aca="false">IF(B94="","",IF(COUNTIF('Mug Log'!$B$5:$B$1004,B94)=0,"",_xlfn.MAXIFS('Mug Log'!$A$5:$A$1004,'Mug Log'!$B$5:$B$1004,B94)))</f>
        <v/>
      </c>
      <c r="M94" s="9" t="str">
        <f aca="false">IF(L94="","",SUMIFS('Mug Log'!$D$5:$D$1004,'Mug Log'!$B$5:$B$1004,B94,'Mug Log'!$A$5:$A$1004,L94))</f>
        <v/>
      </c>
      <c r="N94" s="8" t="str">
        <f aca="false">IF(L94="","",L94+Settings!$B$7/24)</f>
        <v/>
      </c>
      <c r="O94" s="8" t="str">
        <f aca="false">IF(N94="","",N94+Settings!$B$6/24)</f>
        <v/>
      </c>
      <c r="P94" s="10" t="str">
        <f aca="false">IF(B94="","",IF(L94="","Never hit",IF(N94&lt;=Settings!$B$8,"READY","Cooldown")))</f>
        <v/>
      </c>
      <c r="Q94" s="11" t="str">
        <f aca="false">IF(P94="Cooldown",N94-Settings!$B$8,"")</f>
        <v/>
      </c>
      <c r="R94" s="12" t="str">
        <f aca="false">IF(B94="","",COUNTIF('Mug Log'!$B$5:$B$1004,B94))</f>
        <v/>
      </c>
      <c r="S94" s="9" t="str">
        <f aca="false">IF(B94="","",SUMIFS('Mug Log'!$D$5:$D$1004,'Mug Log'!$B$5:$B$1004,B94))</f>
        <v/>
      </c>
      <c r="T94" s="9" t="str">
        <f aca="false">IF(OR(B94="",R94=0),"",S94/R94)</f>
        <v/>
      </c>
      <c r="U94" s="4"/>
    </row>
    <row r="95" customFormat="false" ht="15" hidden="false" customHeight="false" outlineLevel="0" collapsed="false">
      <c r="A95" s="4"/>
      <c r="B95" s="5"/>
      <c r="C95" s="4"/>
      <c r="D95" s="6"/>
      <c r="E95" s="4"/>
      <c r="F95" s="4"/>
      <c r="G95" s="6"/>
      <c r="H95" s="4"/>
      <c r="I95" s="4"/>
      <c r="J95" s="7" t="str">
        <f aca="false">IF(B95="","",HYPERLINK("https://www.torn.com/profiles.php?XID="&amp;B95,"Profile"))</f>
        <v/>
      </c>
      <c r="K95" s="7" t="str">
        <f aca="false">IF(B95="","",HYPERLINK("https://www.torn.com/loader.php?sid=attack&amp;user2ID="&amp;B95,"Attack"))</f>
        <v/>
      </c>
      <c r="L95" s="8" t="str">
        <f aca="false">IF(B95="","",IF(COUNTIF('Mug Log'!$B$5:$B$1004,B95)=0,"",_xlfn.MAXIFS('Mug Log'!$A$5:$A$1004,'Mug Log'!$B$5:$B$1004,B95)))</f>
        <v/>
      </c>
      <c r="M95" s="9" t="str">
        <f aca="false">IF(L95="","",SUMIFS('Mug Log'!$D$5:$D$1004,'Mug Log'!$B$5:$B$1004,B95,'Mug Log'!$A$5:$A$1004,L95))</f>
        <v/>
      </c>
      <c r="N95" s="8" t="str">
        <f aca="false">IF(L95="","",L95+Settings!$B$7/24)</f>
        <v/>
      </c>
      <c r="O95" s="8" t="str">
        <f aca="false">IF(N95="","",N95+Settings!$B$6/24)</f>
        <v/>
      </c>
      <c r="P95" s="10" t="str">
        <f aca="false">IF(B95="","",IF(L95="","Never hit",IF(N95&lt;=Settings!$B$8,"READY","Cooldown")))</f>
        <v/>
      </c>
      <c r="Q95" s="11" t="str">
        <f aca="false">IF(P95="Cooldown",N95-Settings!$B$8,"")</f>
        <v/>
      </c>
      <c r="R95" s="12" t="str">
        <f aca="false">IF(B95="","",COUNTIF('Mug Log'!$B$5:$B$1004,B95))</f>
        <v/>
      </c>
      <c r="S95" s="9" t="str">
        <f aca="false">IF(B95="","",SUMIFS('Mug Log'!$D$5:$D$1004,'Mug Log'!$B$5:$B$1004,B95))</f>
        <v/>
      </c>
      <c r="T95" s="9" t="str">
        <f aca="false">IF(OR(B95="",R95=0),"",S95/R95)</f>
        <v/>
      </c>
      <c r="U95" s="4"/>
    </row>
    <row r="96" customFormat="false" ht="15" hidden="false" customHeight="false" outlineLevel="0" collapsed="false">
      <c r="A96" s="4"/>
      <c r="B96" s="5"/>
      <c r="C96" s="4"/>
      <c r="D96" s="6"/>
      <c r="E96" s="4"/>
      <c r="F96" s="4"/>
      <c r="G96" s="6"/>
      <c r="H96" s="4"/>
      <c r="I96" s="4"/>
      <c r="J96" s="7" t="str">
        <f aca="false">IF(B96="","",HYPERLINK("https://www.torn.com/profiles.php?XID="&amp;B96,"Profile"))</f>
        <v/>
      </c>
      <c r="K96" s="7" t="str">
        <f aca="false">IF(B96="","",HYPERLINK("https://www.torn.com/loader.php?sid=attack&amp;user2ID="&amp;B96,"Attack"))</f>
        <v/>
      </c>
      <c r="L96" s="8" t="str">
        <f aca="false">IF(B96="","",IF(COUNTIF('Mug Log'!$B$5:$B$1004,B96)=0,"",_xlfn.MAXIFS('Mug Log'!$A$5:$A$1004,'Mug Log'!$B$5:$B$1004,B96)))</f>
        <v/>
      </c>
      <c r="M96" s="9" t="str">
        <f aca="false">IF(L96="","",SUMIFS('Mug Log'!$D$5:$D$1004,'Mug Log'!$B$5:$B$1004,B96,'Mug Log'!$A$5:$A$1004,L96))</f>
        <v/>
      </c>
      <c r="N96" s="8" t="str">
        <f aca="false">IF(L96="","",L96+Settings!$B$7/24)</f>
        <v/>
      </c>
      <c r="O96" s="8" t="str">
        <f aca="false">IF(N96="","",N96+Settings!$B$6/24)</f>
        <v/>
      </c>
      <c r="P96" s="10" t="str">
        <f aca="false">IF(B96="","",IF(L96="","Never hit",IF(N96&lt;=Settings!$B$8,"READY","Cooldown")))</f>
        <v/>
      </c>
      <c r="Q96" s="11" t="str">
        <f aca="false">IF(P96="Cooldown",N96-Settings!$B$8,"")</f>
        <v/>
      </c>
      <c r="R96" s="12" t="str">
        <f aca="false">IF(B96="","",COUNTIF('Mug Log'!$B$5:$B$1004,B96))</f>
        <v/>
      </c>
      <c r="S96" s="9" t="str">
        <f aca="false">IF(B96="","",SUMIFS('Mug Log'!$D$5:$D$1004,'Mug Log'!$B$5:$B$1004,B96))</f>
        <v/>
      </c>
      <c r="T96" s="9" t="str">
        <f aca="false">IF(OR(B96="",R96=0),"",S96/R96)</f>
        <v/>
      </c>
      <c r="U96" s="4"/>
    </row>
    <row r="97" customFormat="false" ht="15" hidden="false" customHeight="false" outlineLevel="0" collapsed="false">
      <c r="A97" s="4"/>
      <c r="B97" s="5"/>
      <c r="C97" s="4"/>
      <c r="D97" s="6"/>
      <c r="E97" s="4"/>
      <c r="F97" s="4"/>
      <c r="G97" s="6"/>
      <c r="H97" s="4"/>
      <c r="I97" s="4"/>
      <c r="J97" s="7" t="str">
        <f aca="false">IF(B97="","",HYPERLINK("https://www.torn.com/profiles.php?XID="&amp;B97,"Profile"))</f>
        <v/>
      </c>
      <c r="K97" s="7" t="str">
        <f aca="false">IF(B97="","",HYPERLINK("https://www.torn.com/loader.php?sid=attack&amp;user2ID="&amp;B97,"Attack"))</f>
        <v/>
      </c>
      <c r="L97" s="8" t="str">
        <f aca="false">IF(B97="","",IF(COUNTIF('Mug Log'!$B$5:$B$1004,B97)=0,"",_xlfn.MAXIFS('Mug Log'!$A$5:$A$1004,'Mug Log'!$B$5:$B$1004,B97)))</f>
        <v/>
      </c>
      <c r="M97" s="9" t="str">
        <f aca="false">IF(L97="","",SUMIFS('Mug Log'!$D$5:$D$1004,'Mug Log'!$B$5:$B$1004,B97,'Mug Log'!$A$5:$A$1004,L97))</f>
        <v/>
      </c>
      <c r="N97" s="8" t="str">
        <f aca="false">IF(L97="","",L97+Settings!$B$7/24)</f>
        <v/>
      </c>
      <c r="O97" s="8" t="str">
        <f aca="false">IF(N97="","",N97+Settings!$B$6/24)</f>
        <v/>
      </c>
      <c r="P97" s="10" t="str">
        <f aca="false">IF(B97="","",IF(L97="","Never hit",IF(N97&lt;=Settings!$B$8,"READY","Cooldown")))</f>
        <v/>
      </c>
      <c r="Q97" s="11" t="str">
        <f aca="false">IF(P97="Cooldown",N97-Settings!$B$8,"")</f>
        <v/>
      </c>
      <c r="R97" s="12" t="str">
        <f aca="false">IF(B97="","",COUNTIF('Mug Log'!$B$5:$B$1004,B97))</f>
        <v/>
      </c>
      <c r="S97" s="9" t="str">
        <f aca="false">IF(B97="","",SUMIFS('Mug Log'!$D$5:$D$1004,'Mug Log'!$B$5:$B$1004,B97))</f>
        <v/>
      </c>
      <c r="T97" s="9" t="str">
        <f aca="false">IF(OR(B97="",R97=0),"",S97/R97)</f>
        <v/>
      </c>
      <c r="U97" s="4"/>
    </row>
    <row r="98" customFormat="false" ht="15" hidden="false" customHeight="false" outlineLevel="0" collapsed="false">
      <c r="A98" s="4"/>
      <c r="B98" s="5"/>
      <c r="C98" s="4"/>
      <c r="D98" s="6"/>
      <c r="E98" s="4"/>
      <c r="F98" s="4"/>
      <c r="G98" s="6"/>
      <c r="H98" s="4"/>
      <c r="I98" s="4"/>
      <c r="J98" s="7" t="str">
        <f aca="false">IF(B98="","",HYPERLINK("https://www.torn.com/profiles.php?XID="&amp;B98,"Profile"))</f>
        <v/>
      </c>
      <c r="K98" s="7" t="str">
        <f aca="false">IF(B98="","",HYPERLINK("https://www.torn.com/loader.php?sid=attack&amp;user2ID="&amp;B98,"Attack"))</f>
        <v/>
      </c>
      <c r="L98" s="8" t="str">
        <f aca="false">IF(B98="","",IF(COUNTIF('Mug Log'!$B$5:$B$1004,B98)=0,"",_xlfn.MAXIFS('Mug Log'!$A$5:$A$1004,'Mug Log'!$B$5:$B$1004,B98)))</f>
        <v/>
      </c>
      <c r="M98" s="9" t="str">
        <f aca="false">IF(L98="","",SUMIFS('Mug Log'!$D$5:$D$1004,'Mug Log'!$B$5:$B$1004,B98,'Mug Log'!$A$5:$A$1004,L98))</f>
        <v/>
      </c>
      <c r="N98" s="8" t="str">
        <f aca="false">IF(L98="","",L98+Settings!$B$7/24)</f>
        <v/>
      </c>
      <c r="O98" s="8" t="str">
        <f aca="false">IF(N98="","",N98+Settings!$B$6/24)</f>
        <v/>
      </c>
      <c r="P98" s="10" t="str">
        <f aca="false">IF(B98="","",IF(L98="","Never hit",IF(N98&lt;=Settings!$B$8,"READY","Cooldown")))</f>
        <v/>
      </c>
      <c r="Q98" s="11" t="str">
        <f aca="false">IF(P98="Cooldown",N98-Settings!$B$8,"")</f>
        <v/>
      </c>
      <c r="R98" s="12" t="str">
        <f aca="false">IF(B98="","",COUNTIF('Mug Log'!$B$5:$B$1004,B98))</f>
        <v/>
      </c>
      <c r="S98" s="9" t="str">
        <f aca="false">IF(B98="","",SUMIFS('Mug Log'!$D$5:$D$1004,'Mug Log'!$B$5:$B$1004,B98))</f>
        <v/>
      </c>
      <c r="T98" s="9" t="str">
        <f aca="false">IF(OR(B98="",R98=0),"",S98/R98)</f>
        <v/>
      </c>
      <c r="U98" s="4"/>
    </row>
    <row r="99" customFormat="false" ht="15" hidden="false" customHeight="false" outlineLevel="0" collapsed="false">
      <c r="A99" s="4"/>
      <c r="B99" s="5"/>
      <c r="C99" s="4"/>
      <c r="D99" s="6"/>
      <c r="E99" s="4"/>
      <c r="F99" s="4"/>
      <c r="G99" s="6"/>
      <c r="H99" s="4"/>
      <c r="I99" s="4"/>
      <c r="J99" s="7" t="str">
        <f aca="false">IF(B99="","",HYPERLINK("https://www.torn.com/profiles.php?XID="&amp;B99,"Profile"))</f>
        <v/>
      </c>
      <c r="K99" s="7" t="str">
        <f aca="false">IF(B99="","",HYPERLINK("https://www.torn.com/loader.php?sid=attack&amp;user2ID="&amp;B99,"Attack"))</f>
        <v/>
      </c>
      <c r="L99" s="8" t="str">
        <f aca="false">IF(B99="","",IF(COUNTIF('Mug Log'!$B$5:$B$1004,B99)=0,"",_xlfn.MAXIFS('Mug Log'!$A$5:$A$1004,'Mug Log'!$B$5:$B$1004,B99)))</f>
        <v/>
      </c>
      <c r="M99" s="9" t="str">
        <f aca="false">IF(L99="","",SUMIFS('Mug Log'!$D$5:$D$1004,'Mug Log'!$B$5:$B$1004,B99,'Mug Log'!$A$5:$A$1004,L99))</f>
        <v/>
      </c>
      <c r="N99" s="8" t="str">
        <f aca="false">IF(L99="","",L99+Settings!$B$7/24)</f>
        <v/>
      </c>
      <c r="O99" s="8" t="str">
        <f aca="false">IF(N99="","",N99+Settings!$B$6/24)</f>
        <v/>
      </c>
      <c r="P99" s="10" t="str">
        <f aca="false">IF(B99="","",IF(L99="","Never hit",IF(N99&lt;=Settings!$B$8,"READY","Cooldown")))</f>
        <v/>
      </c>
      <c r="Q99" s="11" t="str">
        <f aca="false">IF(P99="Cooldown",N99-Settings!$B$8,"")</f>
        <v/>
      </c>
      <c r="R99" s="12" t="str">
        <f aca="false">IF(B99="","",COUNTIF('Mug Log'!$B$5:$B$1004,B99))</f>
        <v/>
      </c>
      <c r="S99" s="9" t="str">
        <f aca="false">IF(B99="","",SUMIFS('Mug Log'!$D$5:$D$1004,'Mug Log'!$B$5:$B$1004,B99))</f>
        <v/>
      </c>
      <c r="T99" s="9" t="str">
        <f aca="false">IF(OR(B99="",R99=0),"",S99/R99)</f>
        <v/>
      </c>
      <c r="U99" s="4"/>
    </row>
    <row r="100" customFormat="false" ht="15" hidden="false" customHeight="false" outlineLevel="0" collapsed="false">
      <c r="A100" s="4"/>
      <c r="B100" s="5"/>
      <c r="C100" s="4"/>
      <c r="D100" s="6"/>
      <c r="E100" s="4"/>
      <c r="F100" s="4"/>
      <c r="G100" s="6"/>
      <c r="H100" s="4"/>
      <c r="I100" s="4"/>
      <c r="J100" s="7" t="str">
        <f aca="false">IF(B100="","",HYPERLINK("https://www.torn.com/profiles.php?XID="&amp;B100,"Profile"))</f>
        <v/>
      </c>
      <c r="K100" s="7" t="str">
        <f aca="false">IF(B100="","",HYPERLINK("https://www.torn.com/loader.php?sid=attack&amp;user2ID="&amp;B100,"Attack"))</f>
        <v/>
      </c>
      <c r="L100" s="8" t="str">
        <f aca="false">IF(B100="","",IF(COUNTIF('Mug Log'!$B$5:$B$1004,B100)=0,"",_xlfn.MAXIFS('Mug Log'!$A$5:$A$1004,'Mug Log'!$B$5:$B$1004,B100)))</f>
        <v/>
      </c>
      <c r="M100" s="9" t="str">
        <f aca="false">IF(L100="","",SUMIFS('Mug Log'!$D$5:$D$1004,'Mug Log'!$B$5:$B$1004,B100,'Mug Log'!$A$5:$A$1004,L100))</f>
        <v/>
      </c>
      <c r="N100" s="8" t="str">
        <f aca="false">IF(L100="","",L100+Settings!$B$7/24)</f>
        <v/>
      </c>
      <c r="O100" s="8" t="str">
        <f aca="false">IF(N100="","",N100+Settings!$B$6/24)</f>
        <v/>
      </c>
      <c r="P100" s="10" t="str">
        <f aca="false">IF(B100="","",IF(L100="","Never hit",IF(N100&lt;=Settings!$B$8,"READY","Cooldown")))</f>
        <v/>
      </c>
      <c r="Q100" s="11" t="str">
        <f aca="false">IF(P100="Cooldown",N100-Settings!$B$8,"")</f>
        <v/>
      </c>
      <c r="R100" s="12" t="str">
        <f aca="false">IF(B100="","",COUNTIF('Mug Log'!$B$5:$B$1004,B100))</f>
        <v/>
      </c>
      <c r="S100" s="9" t="str">
        <f aca="false">IF(B100="","",SUMIFS('Mug Log'!$D$5:$D$1004,'Mug Log'!$B$5:$B$1004,B100))</f>
        <v/>
      </c>
      <c r="T100" s="9" t="str">
        <f aca="false">IF(OR(B100="",R100=0),"",S100/R100)</f>
        <v/>
      </c>
      <c r="U100" s="4"/>
    </row>
    <row r="101" customFormat="false" ht="15" hidden="false" customHeight="false" outlineLevel="0" collapsed="false">
      <c r="A101" s="4"/>
      <c r="B101" s="5"/>
      <c r="C101" s="4"/>
      <c r="D101" s="6"/>
      <c r="E101" s="4"/>
      <c r="F101" s="4"/>
      <c r="G101" s="6"/>
      <c r="H101" s="4"/>
      <c r="I101" s="4"/>
      <c r="J101" s="7" t="str">
        <f aca="false">IF(B101="","",HYPERLINK("https://www.torn.com/profiles.php?XID="&amp;B101,"Profile"))</f>
        <v/>
      </c>
      <c r="K101" s="7" t="str">
        <f aca="false">IF(B101="","",HYPERLINK("https://www.torn.com/loader.php?sid=attack&amp;user2ID="&amp;B101,"Attack"))</f>
        <v/>
      </c>
      <c r="L101" s="8" t="str">
        <f aca="false">IF(B101="","",IF(COUNTIF('Mug Log'!$B$5:$B$1004,B101)=0,"",_xlfn.MAXIFS('Mug Log'!$A$5:$A$1004,'Mug Log'!$B$5:$B$1004,B101)))</f>
        <v/>
      </c>
      <c r="M101" s="9" t="str">
        <f aca="false">IF(L101="","",SUMIFS('Mug Log'!$D$5:$D$1004,'Mug Log'!$B$5:$B$1004,B101,'Mug Log'!$A$5:$A$1004,L101))</f>
        <v/>
      </c>
      <c r="N101" s="8" t="str">
        <f aca="false">IF(L101="","",L101+Settings!$B$7/24)</f>
        <v/>
      </c>
      <c r="O101" s="8" t="str">
        <f aca="false">IF(N101="","",N101+Settings!$B$6/24)</f>
        <v/>
      </c>
      <c r="P101" s="10" t="str">
        <f aca="false">IF(B101="","",IF(L101="","Never hit",IF(N101&lt;=Settings!$B$8,"READY","Cooldown")))</f>
        <v/>
      </c>
      <c r="Q101" s="11" t="str">
        <f aca="false">IF(P101="Cooldown",N101-Settings!$B$8,"")</f>
        <v/>
      </c>
      <c r="R101" s="12" t="str">
        <f aca="false">IF(B101="","",COUNTIF('Mug Log'!$B$5:$B$1004,B101))</f>
        <v/>
      </c>
      <c r="S101" s="9" t="str">
        <f aca="false">IF(B101="","",SUMIFS('Mug Log'!$D$5:$D$1004,'Mug Log'!$B$5:$B$1004,B101))</f>
        <v/>
      </c>
      <c r="T101" s="9" t="str">
        <f aca="false">IF(OR(B101="",R101=0),"",S101/R101)</f>
        <v/>
      </c>
      <c r="U101" s="4"/>
    </row>
    <row r="102" customFormat="false" ht="15" hidden="false" customHeight="false" outlineLevel="0" collapsed="false">
      <c r="A102" s="4"/>
      <c r="B102" s="5"/>
      <c r="C102" s="4"/>
      <c r="D102" s="6"/>
      <c r="E102" s="4"/>
      <c r="F102" s="4"/>
      <c r="G102" s="6"/>
      <c r="H102" s="4"/>
      <c r="I102" s="4"/>
      <c r="J102" s="7" t="str">
        <f aca="false">IF(B102="","",HYPERLINK("https://www.torn.com/profiles.php?XID="&amp;B102,"Profile"))</f>
        <v/>
      </c>
      <c r="K102" s="7" t="str">
        <f aca="false">IF(B102="","",HYPERLINK("https://www.torn.com/loader.php?sid=attack&amp;user2ID="&amp;B102,"Attack"))</f>
        <v/>
      </c>
      <c r="L102" s="8" t="str">
        <f aca="false">IF(B102="","",IF(COUNTIF('Mug Log'!$B$5:$B$1004,B102)=0,"",_xlfn.MAXIFS('Mug Log'!$A$5:$A$1004,'Mug Log'!$B$5:$B$1004,B102)))</f>
        <v/>
      </c>
      <c r="M102" s="9" t="str">
        <f aca="false">IF(L102="","",SUMIFS('Mug Log'!$D$5:$D$1004,'Mug Log'!$B$5:$B$1004,B102,'Mug Log'!$A$5:$A$1004,L102))</f>
        <v/>
      </c>
      <c r="N102" s="8" t="str">
        <f aca="false">IF(L102="","",L102+Settings!$B$7/24)</f>
        <v/>
      </c>
      <c r="O102" s="8" t="str">
        <f aca="false">IF(N102="","",N102+Settings!$B$6/24)</f>
        <v/>
      </c>
      <c r="P102" s="10" t="str">
        <f aca="false">IF(B102="","",IF(L102="","Never hit",IF(N102&lt;=Settings!$B$8,"READY","Cooldown")))</f>
        <v/>
      </c>
      <c r="Q102" s="11" t="str">
        <f aca="false">IF(P102="Cooldown",N102-Settings!$B$8,"")</f>
        <v/>
      </c>
      <c r="R102" s="12" t="str">
        <f aca="false">IF(B102="","",COUNTIF('Mug Log'!$B$5:$B$1004,B102))</f>
        <v/>
      </c>
      <c r="S102" s="9" t="str">
        <f aca="false">IF(B102="","",SUMIFS('Mug Log'!$D$5:$D$1004,'Mug Log'!$B$5:$B$1004,B102))</f>
        <v/>
      </c>
      <c r="T102" s="9" t="str">
        <f aca="false">IF(OR(B102="",R102=0),"",S102/R102)</f>
        <v/>
      </c>
      <c r="U102" s="4"/>
    </row>
    <row r="103" customFormat="false" ht="15" hidden="false" customHeight="false" outlineLevel="0" collapsed="false">
      <c r="A103" s="4"/>
      <c r="B103" s="5"/>
      <c r="C103" s="4"/>
      <c r="D103" s="6"/>
      <c r="E103" s="4"/>
      <c r="F103" s="4"/>
      <c r="G103" s="6"/>
      <c r="H103" s="4"/>
      <c r="I103" s="4"/>
      <c r="J103" s="7" t="str">
        <f aca="false">IF(B103="","",HYPERLINK("https://www.torn.com/profiles.php?XID="&amp;B103,"Profile"))</f>
        <v/>
      </c>
      <c r="K103" s="7" t="str">
        <f aca="false">IF(B103="","",HYPERLINK("https://www.torn.com/loader.php?sid=attack&amp;user2ID="&amp;B103,"Attack"))</f>
        <v/>
      </c>
      <c r="L103" s="8" t="str">
        <f aca="false">IF(B103="","",IF(COUNTIF('Mug Log'!$B$5:$B$1004,B103)=0,"",_xlfn.MAXIFS('Mug Log'!$A$5:$A$1004,'Mug Log'!$B$5:$B$1004,B103)))</f>
        <v/>
      </c>
      <c r="M103" s="9" t="str">
        <f aca="false">IF(L103="","",SUMIFS('Mug Log'!$D$5:$D$1004,'Mug Log'!$B$5:$B$1004,B103,'Mug Log'!$A$5:$A$1004,L103))</f>
        <v/>
      </c>
      <c r="N103" s="8" t="str">
        <f aca="false">IF(L103="","",L103+Settings!$B$7/24)</f>
        <v/>
      </c>
      <c r="O103" s="8" t="str">
        <f aca="false">IF(N103="","",N103+Settings!$B$6/24)</f>
        <v/>
      </c>
      <c r="P103" s="10" t="str">
        <f aca="false">IF(B103="","",IF(L103="","Never hit",IF(N103&lt;=Settings!$B$8,"READY","Cooldown")))</f>
        <v/>
      </c>
      <c r="Q103" s="11" t="str">
        <f aca="false">IF(P103="Cooldown",N103-Settings!$B$8,"")</f>
        <v/>
      </c>
      <c r="R103" s="12" t="str">
        <f aca="false">IF(B103="","",COUNTIF('Mug Log'!$B$5:$B$1004,B103))</f>
        <v/>
      </c>
      <c r="S103" s="9" t="str">
        <f aca="false">IF(B103="","",SUMIFS('Mug Log'!$D$5:$D$1004,'Mug Log'!$B$5:$B$1004,B103))</f>
        <v/>
      </c>
      <c r="T103" s="9" t="str">
        <f aca="false">IF(OR(B103="",R103=0),"",S103/R103)</f>
        <v/>
      </c>
      <c r="U103" s="4"/>
    </row>
    <row r="104" customFormat="false" ht="15" hidden="false" customHeight="false" outlineLevel="0" collapsed="false">
      <c r="A104" s="4"/>
      <c r="B104" s="5"/>
      <c r="C104" s="4"/>
      <c r="D104" s="6"/>
      <c r="E104" s="4"/>
      <c r="F104" s="4"/>
      <c r="G104" s="6"/>
      <c r="H104" s="4"/>
      <c r="I104" s="4"/>
      <c r="J104" s="7" t="str">
        <f aca="false">IF(B104="","",HYPERLINK("https://www.torn.com/profiles.php?XID="&amp;B104,"Profile"))</f>
        <v/>
      </c>
      <c r="K104" s="7" t="str">
        <f aca="false">IF(B104="","",HYPERLINK("https://www.torn.com/loader.php?sid=attack&amp;user2ID="&amp;B104,"Attack"))</f>
        <v/>
      </c>
      <c r="L104" s="8" t="str">
        <f aca="false">IF(B104="","",IF(COUNTIF('Mug Log'!$B$5:$B$1004,B104)=0,"",_xlfn.MAXIFS('Mug Log'!$A$5:$A$1004,'Mug Log'!$B$5:$B$1004,B104)))</f>
        <v/>
      </c>
      <c r="M104" s="9" t="str">
        <f aca="false">IF(L104="","",SUMIFS('Mug Log'!$D$5:$D$1004,'Mug Log'!$B$5:$B$1004,B104,'Mug Log'!$A$5:$A$1004,L104))</f>
        <v/>
      </c>
      <c r="N104" s="8" t="str">
        <f aca="false">IF(L104="","",L104+Settings!$B$7/24)</f>
        <v/>
      </c>
      <c r="O104" s="8" t="str">
        <f aca="false">IF(N104="","",N104+Settings!$B$6/24)</f>
        <v/>
      </c>
      <c r="P104" s="10" t="str">
        <f aca="false">IF(B104="","",IF(L104="","Never hit",IF(N104&lt;=Settings!$B$8,"READY","Cooldown")))</f>
        <v/>
      </c>
      <c r="Q104" s="11" t="str">
        <f aca="false">IF(P104="Cooldown",N104-Settings!$B$8,"")</f>
        <v/>
      </c>
      <c r="R104" s="12" t="str">
        <f aca="false">IF(B104="","",COUNTIF('Mug Log'!$B$5:$B$1004,B104))</f>
        <v/>
      </c>
      <c r="S104" s="9" t="str">
        <f aca="false">IF(B104="","",SUMIFS('Mug Log'!$D$5:$D$1004,'Mug Log'!$B$5:$B$1004,B104))</f>
        <v/>
      </c>
      <c r="T104" s="9" t="str">
        <f aca="false">IF(OR(B104="",R104=0),"",S104/R104)</f>
        <v/>
      </c>
      <c r="U104" s="4"/>
    </row>
    <row r="105" customFormat="false" ht="15" hidden="false" customHeight="false" outlineLevel="0" collapsed="false">
      <c r="A105" s="4"/>
      <c r="B105" s="5"/>
      <c r="C105" s="4"/>
      <c r="D105" s="6"/>
      <c r="E105" s="4"/>
      <c r="F105" s="4"/>
      <c r="G105" s="6"/>
      <c r="H105" s="4"/>
      <c r="I105" s="4"/>
      <c r="J105" s="7" t="str">
        <f aca="false">IF(B105="","",HYPERLINK("https://www.torn.com/profiles.php?XID="&amp;B105,"Profile"))</f>
        <v/>
      </c>
      <c r="K105" s="7" t="str">
        <f aca="false">IF(B105="","",HYPERLINK("https://www.torn.com/loader.php?sid=attack&amp;user2ID="&amp;B105,"Attack"))</f>
        <v/>
      </c>
      <c r="L105" s="8" t="str">
        <f aca="false">IF(B105="","",IF(COUNTIF('Mug Log'!$B$5:$B$1004,B105)=0,"",_xlfn.MAXIFS('Mug Log'!$A$5:$A$1004,'Mug Log'!$B$5:$B$1004,B105)))</f>
        <v/>
      </c>
      <c r="M105" s="9" t="str">
        <f aca="false">IF(L105="","",SUMIFS('Mug Log'!$D$5:$D$1004,'Mug Log'!$B$5:$B$1004,B105,'Mug Log'!$A$5:$A$1004,L105))</f>
        <v/>
      </c>
      <c r="N105" s="8" t="str">
        <f aca="false">IF(L105="","",L105+Settings!$B$7/24)</f>
        <v/>
      </c>
      <c r="O105" s="8" t="str">
        <f aca="false">IF(N105="","",N105+Settings!$B$6/24)</f>
        <v/>
      </c>
      <c r="P105" s="10" t="str">
        <f aca="false">IF(B105="","",IF(L105="","Never hit",IF(N105&lt;=Settings!$B$8,"READY","Cooldown")))</f>
        <v/>
      </c>
      <c r="Q105" s="11" t="str">
        <f aca="false">IF(P105="Cooldown",N105-Settings!$B$8,"")</f>
        <v/>
      </c>
      <c r="R105" s="12" t="str">
        <f aca="false">IF(B105="","",COUNTIF('Mug Log'!$B$5:$B$1004,B105))</f>
        <v/>
      </c>
      <c r="S105" s="9" t="str">
        <f aca="false">IF(B105="","",SUMIFS('Mug Log'!$D$5:$D$1004,'Mug Log'!$B$5:$B$1004,B105))</f>
        <v/>
      </c>
      <c r="T105" s="9" t="str">
        <f aca="false">IF(OR(B105="",R105=0),"",S105/R105)</f>
        <v/>
      </c>
      <c r="U105" s="4"/>
    </row>
    <row r="106" customFormat="false" ht="15" hidden="false" customHeight="false" outlineLevel="0" collapsed="false">
      <c r="A106" s="4"/>
      <c r="B106" s="5"/>
      <c r="C106" s="4"/>
      <c r="D106" s="6"/>
      <c r="E106" s="4"/>
      <c r="F106" s="4"/>
      <c r="G106" s="6"/>
      <c r="H106" s="4"/>
      <c r="I106" s="4"/>
      <c r="J106" s="7" t="str">
        <f aca="false">IF(B106="","",HYPERLINK("https://www.torn.com/profiles.php?XID="&amp;B106,"Profile"))</f>
        <v/>
      </c>
      <c r="K106" s="7" t="str">
        <f aca="false">IF(B106="","",HYPERLINK("https://www.torn.com/loader.php?sid=attack&amp;user2ID="&amp;B106,"Attack"))</f>
        <v/>
      </c>
      <c r="L106" s="8" t="str">
        <f aca="false">IF(B106="","",IF(COUNTIF('Mug Log'!$B$5:$B$1004,B106)=0,"",_xlfn.MAXIFS('Mug Log'!$A$5:$A$1004,'Mug Log'!$B$5:$B$1004,B106)))</f>
        <v/>
      </c>
      <c r="M106" s="9" t="str">
        <f aca="false">IF(L106="","",SUMIFS('Mug Log'!$D$5:$D$1004,'Mug Log'!$B$5:$B$1004,B106,'Mug Log'!$A$5:$A$1004,L106))</f>
        <v/>
      </c>
      <c r="N106" s="8" t="str">
        <f aca="false">IF(L106="","",L106+Settings!$B$7/24)</f>
        <v/>
      </c>
      <c r="O106" s="8" t="str">
        <f aca="false">IF(N106="","",N106+Settings!$B$6/24)</f>
        <v/>
      </c>
      <c r="P106" s="10" t="str">
        <f aca="false">IF(B106="","",IF(L106="","Never hit",IF(N106&lt;=Settings!$B$8,"READY","Cooldown")))</f>
        <v/>
      </c>
      <c r="Q106" s="11" t="str">
        <f aca="false">IF(P106="Cooldown",N106-Settings!$B$8,"")</f>
        <v/>
      </c>
      <c r="R106" s="12" t="str">
        <f aca="false">IF(B106="","",COUNTIF('Mug Log'!$B$5:$B$1004,B106))</f>
        <v/>
      </c>
      <c r="S106" s="9" t="str">
        <f aca="false">IF(B106="","",SUMIFS('Mug Log'!$D$5:$D$1004,'Mug Log'!$B$5:$B$1004,B106))</f>
        <v/>
      </c>
      <c r="T106" s="9" t="str">
        <f aca="false">IF(OR(B106="",R106=0),"",S106/R106)</f>
        <v/>
      </c>
      <c r="U106" s="4"/>
    </row>
    <row r="107" customFormat="false" ht="15" hidden="false" customHeight="false" outlineLevel="0" collapsed="false">
      <c r="A107" s="4"/>
      <c r="B107" s="5"/>
      <c r="C107" s="4"/>
      <c r="D107" s="6"/>
      <c r="E107" s="4"/>
      <c r="F107" s="4"/>
      <c r="G107" s="6"/>
      <c r="H107" s="4"/>
      <c r="I107" s="4"/>
      <c r="J107" s="7" t="str">
        <f aca="false">IF(B107="","",HYPERLINK("https://www.torn.com/profiles.php?XID="&amp;B107,"Profile"))</f>
        <v/>
      </c>
      <c r="K107" s="7" t="str">
        <f aca="false">IF(B107="","",HYPERLINK("https://www.torn.com/loader.php?sid=attack&amp;user2ID="&amp;B107,"Attack"))</f>
        <v/>
      </c>
      <c r="L107" s="8" t="str">
        <f aca="false">IF(B107="","",IF(COUNTIF('Mug Log'!$B$5:$B$1004,B107)=0,"",_xlfn.MAXIFS('Mug Log'!$A$5:$A$1004,'Mug Log'!$B$5:$B$1004,B107)))</f>
        <v/>
      </c>
      <c r="M107" s="9" t="str">
        <f aca="false">IF(L107="","",SUMIFS('Mug Log'!$D$5:$D$1004,'Mug Log'!$B$5:$B$1004,B107,'Mug Log'!$A$5:$A$1004,L107))</f>
        <v/>
      </c>
      <c r="N107" s="8" t="str">
        <f aca="false">IF(L107="","",L107+Settings!$B$7/24)</f>
        <v/>
      </c>
      <c r="O107" s="8" t="str">
        <f aca="false">IF(N107="","",N107+Settings!$B$6/24)</f>
        <v/>
      </c>
      <c r="P107" s="10" t="str">
        <f aca="false">IF(B107="","",IF(L107="","Never hit",IF(N107&lt;=Settings!$B$8,"READY","Cooldown")))</f>
        <v/>
      </c>
      <c r="Q107" s="11" t="str">
        <f aca="false">IF(P107="Cooldown",N107-Settings!$B$8,"")</f>
        <v/>
      </c>
      <c r="R107" s="12" t="str">
        <f aca="false">IF(B107="","",COUNTIF('Mug Log'!$B$5:$B$1004,B107))</f>
        <v/>
      </c>
      <c r="S107" s="9" t="str">
        <f aca="false">IF(B107="","",SUMIFS('Mug Log'!$D$5:$D$1004,'Mug Log'!$B$5:$B$1004,B107))</f>
        <v/>
      </c>
      <c r="T107" s="9" t="str">
        <f aca="false">IF(OR(B107="",R107=0),"",S107/R107)</f>
        <v/>
      </c>
      <c r="U107" s="4"/>
    </row>
    <row r="108" customFormat="false" ht="15" hidden="false" customHeight="false" outlineLevel="0" collapsed="false">
      <c r="A108" s="4"/>
      <c r="B108" s="5"/>
      <c r="C108" s="4"/>
      <c r="D108" s="6"/>
      <c r="E108" s="4"/>
      <c r="F108" s="4"/>
      <c r="G108" s="6"/>
      <c r="H108" s="4"/>
      <c r="I108" s="4"/>
      <c r="J108" s="7" t="str">
        <f aca="false">IF(B108="","",HYPERLINK("https://www.torn.com/profiles.php?XID="&amp;B108,"Profile"))</f>
        <v/>
      </c>
      <c r="K108" s="7" t="str">
        <f aca="false">IF(B108="","",HYPERLINK("https://www.torn.com/loader.php?sid=attack&amp;user2ID="&amp;B108,"Attack"))</f>
        <v/>
      </c>
      <c r="L108" s="8" t="str">
        <f aca="false">IF(B108="","",IF(COUNTIF('Mug Log'!$B$5:$B$1004,B108)=0,"",_xlfn.MAXIFS('Mug Log'!$A$5:$A$1004,'Mug Log'!$B$5:$B$1004,B108)))</f>
        <v/>
      </c>
      <c r="M108" s="9" t="str">
        <f aca="false">IF(L108="","",SUMIFS('Mug Log'!$D$5:$D$1004,'Mug Log'!$B$5:$B$1004,B108,'Mug Log'!$A$5:$A$1004,L108))</f>
        <v/>
      </c>
      <c r="N108" s="8" t="str">
        <f aca="false">IF(L108="","",L108+Settings!$B$7/24)</f>
        <v/>
      </c>
      <c r="O108" s="8" t="str">
        <f aca="false">IF(N108="","",N108+Settings!$B$6/24)</f>
        <v/>
      </c>
      <c r="P108" s="10" t="str">
        <f aca="false">IF(B108="","",IF(L108="","Never hit",IF(N108&lt;=Settings!$B$8,"READY","Cooldown")))</f>
        <v/>
      </c>
      <c r="Q108" s="11" t="str">
        <f aca="false">IF(P108="Cooldown",N108-Settings!$B$8,"")</f>
        <v/>
      </c>
      <c r="R108" s="12" t="str">
        <f aca="false">IF(B108="","",COUNTIF('Mug Log'!$B$5:$B$1004,B108))</f>
        <v/>
      </c>
      <c r="S108" s="9" t="str">
        <f aca="false">IF(B108="","",SUMIFS('Mug Log'!$D$5:$D$1004,'Mug Log'!$B$5:$B$1004,B108))</f>
        <v/>
      </c>
      <c r="T108" s="9" t="str">
        <f aca="false">IF(OR(B108="",R108=0),"",S108/R108)</f>
        <v/>
      </c>
      <c r="U108" s="4"/>
    </row>
    <row r="109" customFormat="false" ht="15" hidden="false" customHeight="false" outlineLevel="0" collapsed="false">
      <c r="A109" s="4"/>
      <c r="B109" s="5"/>
      <c r="C109" s="4"/>
      <c r="D109" s="6"/>
      <c r="E109" s="4"/>
      <c r="F109" s="4"/>
      <c r="G109" s="6"/>
      <c r="H109" s="4"/>
      <c r="I109" s="4"/>
      <c r="J109" s="7" t="str">
        <f aca="false">IF(B109="","",HYPERLINK("https://www.torn.com/profiles.php?XID="&amp;B109,"Profile"))</f>
        <v/>
      </c>
      <c r="K109" s="7" t="str">
        <f aca="false">IF(B109="","",HYPERLINK("https://www.torn.com/loader.php?sid=attack&amp;user2ID="&amp;B109,"Attack"))</f>
        <v/>
      </c>
      <c r="L109" s="8" t="str">
        <f aca="false">IF(B109="","",IF(COUNTIF('Mug Log'!$B$5:$B$1004,B109)=0,"",_xlfn.MAXIFS('Mug Log'!$A$5:$A$1004,'Mug Log'!$B$5:$B$1004,B109)))</f>
        <v/>
      </c>
      <c r="M109" s="9" t="str">
        <f aca="false">IF(L109="","",SUMIFS('Mug Log'!$D$5:$D$1004,'Mug Log'!$B$5:$B$1004,B109,'Mug Log'!$A$5:$A$1004,L109))</f>
        <v/>
      </c>
      <c r="N109" s="8" t="str">
        <f aca="false">IF(L109="","",L109+Settings!$B$7/24)</f>
        <v/>
      </c>
      <c r="O109" s="8" t="str">
        <f aca="false">IF(N109="","",N109+Settings!$B$6/24)</f>
        <v/>
      </c>
      <c r="P109" s="10" t="str">
        <f aca="false">IF(B109="","",IF(L109="","Never hit",IF(N109&lt;=Settings!$B$8,"READY","Cooldown")))</f>
        <v/>
      </c>
      <c r="Q109" s="11" t="str">
        <f aca="false">IF(P109="Cooldown",N109-Settings!$B$8,"")</f>
        <v/>
      </c>
      <c r="R109" s="12" t="str">
        <f aca="false">IF(B109="","",COUNTIF('Mug Log'!$B$5:$B$1004,B109))</f>
        <v/>
      </c>
      <c r="S109" s="9" t="str">
        <f aca="false">IF(B109="","",SUMIFS('Mug Log'!$D$5:$D$1004,'Mug Log'!$B$5:$B$1004,B109))</f>
        <v/>
      </c>
      <c r="T109" s="9" t="str">
        <f aca="false">IF(OR(B109="",R109=0),"",S109/R109)</f>
        <v/>
      </c>
      <c r="U109" s="4"/>
    </row>
    <row r="110" customFormat="false" ht="15" hidden="false" customHeight="false" outlineLevel="0" collapsed="false">
      <c r="A110" s="4"/>
      <c r="B110" s="5"/>
      <c r="C110" s="4"/>
      <c r="D110" s="6"/>
      <c r="E110" s="4"/>
      <c r="F110" s="4"/>
      <c r="G110" s="6"/>
      <c r="H110" s="4"/>
      <c r="I110" s="4"/>
      <c r="J110" s="7" t="str">
        <f aca="false">IF(B110="","",HYPERLINK("https://www.torn.com/profiles.php?XID="&amp;B110,"Profile"))</f>
        <v/>
      </c>
      <c r="K110" s="7" t="str">
        <f aca="false">IF(B110="","",HYPERLINK("https://www.torn.com/loader.php?sid=attack&amp;user2ID="&amp;B110,"Attack"))</f>
        <v/>
      </c>
      <c r="L110" s="8" t="str">
        <f aca="false">IF(B110="","",IF(COUNTIF('Mug Log'!$B$5:$B$1004,B110)=0,"",_xlfn.MAXIFS('Mug Log'!$A$5:$A$1004,'Mug Log'!$B$5:$B$1004,B110)))</f>
        <v/>
      </c>
      <c r="M110" s="9" t="str">
        <f aca="false">IF(L110="","",SUMIFS('Mug Log'!$D$5:$D$1004,'Mug Log'!$B$5:$B$1004,B110,'Mug Log'!$A$5:$A$1004,L110))</f>
        <v/>
      </c>
      <c r="N110" s="8" t="str">
        <f aca="false">IF(L110="","",L110+Settings!$B$7/24)</f>
        <v/>
      </c>
      <c r="O110" s="8" t="str">
        <f aca="false">IF(N110="","",N110+Settings!$B$6/24)</f>
        <v/>
      </c>
      <c r="P110" s="10" t="str">
        <f aca="false">IF(B110="","",IF(L110="","Never hit",IF(N110&lt;=Settings!$B$8,"READY","Cooldown")))</f>
        <v/>
      </c>
      <c r="Q110" s="11" t="str">
        <f aca="false">IF(P110="Cooldown",N110-Settings!$B$8,"")</f>
        <v/>
      </c>
      <c r="R110" s="12" t="str">
        <f aca="false">IF(B110="","",COUNTIF('Mug Log'!$B$5:$B$1004,B110))</f>
        <v/>
      </c>
      <c r="S110" s="9" t="str">
        <f aca="false">IF(B110="","",SUMIFS('Mug Log'!$D$5:$D$1004,'Mug Log'!$B$5:$B$1004,B110))</f>
        <v/>
      </c>
      <c r="T110" s="9" t="str">
        <f aca="false">IF(OR(B110="",R110=0),"",S110/R110)</f>
        <v/>
      </c>
      <c r="U110" s="4"/>
    </row>
    <row r="111" customFormat="false" ht="15" hidden="false" customHeight="false" outlineLevel="0" collapsed="false">
      <c r="A111" s="4"/>
      <c r="B111" s="5"/>
      <c r="C111" s="4"/>
      <c r="D111" s="6"/>
      <c r="E111" s="4"/>
      <c r="F111" s="4"/>
      <c r="G111" s="6"/>
      <c r="H111" s="4"/>
      <c r="I111" s="4"/>
      <c r="J111" s="7" t="str">
        <f aca="false">IF(B111="","",HYPERLINK("https://www.torn.com/profiles.php?XID="&amp;B111,"Profile"))</f>
        <v/>
      </c>
      <c r="K111" s="7" t="str">
        <f aca="false">IF(B111="","",HYPERLINK("https://www.torn.com/loader.php?sid=attack&amp;user2ID="&amp;B111,"Attack"))</f>
        <v/>
      </c>
      <c r="L111" s="8" t="str">
        <f aca="false">IF(B111="","",IF(COUNTIF('Mug Log'!$B$5:$B$1004,B111)=0,"",_xlfn.MAXIFS('Mug Log'!$A$5:$A$1004,'Mug Log'!$B$5:$B$1004,B111)))</f>
        <v/>
      </c>
      <c r="M111" s="9" t="str">
        <f aca="false">IF(L111="","",SUMIFS('Mug Log'!$D$5:$D$1004,'Mug Log'!$B$5:$B$1004,B111,'Mug Log'!$A$5:$A$1004,L111))</f>
        <v/>
      </c>
      <c r="N111" s="8" t="str">
        <f aca="false">IF(L111="","",L111+Settings!$B$7/24)</f>
        <v/>
      </c>
      <c r="O111" s="8" t="str">
        <f aca="false">IF(N111="","",N111+Settings!$B$6/24)</f>
        <v/>
      </c>
      <c r="P111" s="10" t="str">
        <f aca="false">IF(B111="","",IF(L111="","Never hit",IF(N111&lt;=Settings!$B$8,"READY","Cooldown")))</f>
        <v/>
      </c>
      <c r="Q111" s="11" t="str">
        <f aca="false">IF(P111="Cooldown",N111-Settings!$B$8,"")</f>
        <v/>
      </c>
      <c r="R111" s="12" t="str">
        <f aca="false">IF(B111="","",COUNTIF('Mug Log'!$B$5:$B$1004,B111))</f>
        <v/>
      </c>
      <c r="S111" s="9" t="str">
        <f aca="false">IF(B111="","",SUMIFS('Mug Log'!$D$5:$D$1004,'Mug Log'!$B$5:$B$1004,B111))</f>
        <v/>
      </c>
      <c r="T111" s="9" t="str">
        <f aca="false">IF(OR(B111="",R111=0),"",S111/R111)</f>
        <v/>
      </c>
      <c r="U111" s="4"/>
    </row>
    <row r="112" customFormat="false" ht="15" hidden="false" customHeight="false" outlineLevel="0" collapsed="false">
      <c r="A112" s="4"/>
      <c r="B112" s="5"/>
      <c r="C112" s="4"/>
      <c r="D112" s="6"/>
      <c r="E112" s="4"/>
      <c r="F112" s="4"/>
      <c r="G112" s="6"/>
      <c r="H112" s="4"/>
      <c r="I112" s="4"/>
      <c r="J112" s="7" t="str">
        <f aca="false">IF(B112="","",HYPERLINK("https://www.torn.com/profiles.php?XID="&amp;B112,"Profile"))</f>
        <v/>
      </c>
      <c r="K112" s="7" t="str">
        <f aca="false">IF(B112="","",HYPERLINK("https://www.torn.com/loader.php?sid=attack&amp;user2ID="&amp;B112,"Attack"))</f>
        <v/>
      </c>
      <c r="L112" s="8" t="str">
        <f aca="false">IF(B112="","",IF(COUNTIF('Mug Log'!$B$5:$B$1004,B112)=0,"",_xlfn.MAXIFS('Mug Log'!$A$5:$A$1004,'Mug Log'!$B$5:$B$1004,B112)))</f>
        <v/>
      </c>
      <c r="M112" s="9" t="str">
        <f aca="false">IF(L112="","",SUMIFS('Mug Log'!$D$5:$D$1004,'Mug Log'!$B$5:$B$1004,B112,'Mug Log'!$A$5:$A$1004,L112))</f>
        <v/>
      </c>
      <c r="N112" s="8" t="str">
        <f aca="false">IF(L112="","",L112+Settings!$B$7/24)</f>
        <v/>
      </c>
      <c r="O112" s="8" t="str">
        <f aca="false">IF(N112="","",N112+Settings!$B$6/24)</f>
        <v/>
      </c>
      <c r="P112" s="10" t="str">
        <f aca="false">IF(B112="","",IF(L112="","Never hit",IF(N112&lt;=Settings!$B$8,"READY","Cooldown")))</f>
        <v/>
      </c>
      <c r="Q112" s="11" t="str">
        <f aca="false">IF(P112="Cooldown",N112-Settings!$B$8,"")</f>
        <v/>
      </c>
      <c r="R112" s="12" t="str">
        <f aca="false">IF(B112="","",COUNTIF('Mug Log'!$B$5:$B$1004,B112))</f>
        <v/>
      </c>
      <c r="S112" s="9" t="str">
        <f aca="false">IF(B112="","",SUMIFS('Mug Log'!$D$5:$D$1004,'Mug Log'!$B$5:$B$1004,B112))</f>
        <v/>
      </c>
      <c r="T112" s="9" t="str">
        <f aca="false">IF(OR(B112="",R112=0),"",S112/R112)</f>
        <v/>
      </c>
      <c r="U112" s="4"/>
    </row>
    <row r="113" customFormat="false" ht="15" hidden="false" customHeight="false" outlineLevel="0" collapsed="false">
      <c r="A113" s="4"/>
      <c r="B113" s="5"/>
      <c r="C113" s="4"/>
      <c r="D113" s="6"/>
      <c r="E113" s="4"/>
      <c r="F113" s="4"/>
      <c r="G113" s="6"/>
      <c r="H113" s="4"/>
      <c r="I113" s="4"/>
      <c r="J113" s="7" t="str">
        <f aca="false">IF(B113="","",HYPERLINK("https://www.torn.com/profiles.php?XID="&amp;B113,"Profile"))</f>
        <v/>
      </c>
      <c r="K113" s="7" t="str">
        <f aca="false">IF(B113="","",HYPERLINK("https://www.torn.com/loader.php?sid=attack&amp;user2ID="&amp;B113,"Attack"))</f>
        <v/>
      </c>
      <c r="L113" s="8" t="str">
        <f aca="false">IF(B113="","",IF(COUNTIF('Mug Log'!$B$5:$B$1004,B113)=0,"",_xlfn.MAXIFS('Mug Log'!$A$5:$A$1004,'Mug Log'!$B$5:$B$1004,B113)))</f>
        <v/>
      </c>
      <c r="M113" s="9" t="str">
        <f aca="false">IF(L113="","",SUMIFS('Mug Log'!$D$5:$D$1004,'Mug Log'!$B$5:$B$1004,B113,'Mug Log'!$A$5:$A$1004,L113))</f>
        <v/>
      </c>
      <c r="N113" s="8" t="str">
        <f aca="false">IF(L113="","",L113+Settings!$B$7/24)</f>
        <v/>
      </c>
      <c r="O113" s="8" t="str">
        <f aca="false">IF(N113="","",N113+Settings!$B$6/24)</f>
        <v/>
      </c>
      <c r="P113" s="10" t="str">
        <f aca="false">IF(B113="","",IF(L113="","Never hit",IF(N113&lt;=Settings!$B$8,"READY","Cooldown")))</f>
        <v/>
      </c>
      <c r="Q113" s="11" t="str">
        <f aca="false">IF(P113="Cooldown",N113-Settings!$B$8,"")</f>
        <v/>
      </c>
      <c r="R113" s="12" t="str">
        <f aca="false">IF(B113="","",COUNTIF('Mug Log'!$B$5:$B$1004,B113))</f>
        <v/>
      </c>
      <c r="S113" s="9" t="str">
        <f aca="false">IF(B113="","",SUMIFS('Mug Log'!$D$5:$D$1004,'Mug Log'!$B$5:$B$1004,B113))</f>
        <v/>
      </c>
      <c r="T113" s="9" t="str">
        <f aca="false">IF(OR(B113="",R113=0),"",S113/R113)</f>
        <v/>
      </c>
      <c r="U113" s="4"/>
    </row>
    <row r="114" customFormat="false" ht="15" hidden="false" customHeight="false" outlineLevel="0" collapsed="false">
      <c r="A114" s="4"/>
      <c r="B114" s="5"/>
      <c r="C114" s="4"/>
      <c r="D114" s="6"/>
      <c r="E114" s="4"/>
      <c r="F114" s="4"/>
      <c r="G114" s="6"/>
      <c r="H114" s="4"/>
      <c r="I114" s="4"/>
      <c r="J114" s="7" t="str">
        <f aca="false">IF(B114="","",HYPERLINK("https://www.torn.com/profiles.php?XID="&amp;B114,"Profile"))</f>
        <v/>
      </c>
      <c r="K114" s="7" t="str">
        <f aca="false">IF(B114="","",HYPERLINK("https://www.torn.com/loader.php?sid=attack&amp;user2ID="&amp;B114,"Attack"))</f>
        <v/>
      </c>
      <c r="L114" s="8" t="str">
        <f aca="false">IF(B114="","",IF(COUNTIF('Mug Log'!$B$5:$B$1004,B114)=0,"",_xlfn.MAXIFS('Mug Log'!$A$5:$A$1004,'Mug Log'!$B$5:$B$1004,B114)))</f>
        <v/>
      </c>
      <c r="M114" s="9" t="str">
        <f aca="false">IF(L114="","",SUMIFS('Mug Log'!$D$5:$D$1004,'Mug Log'!$B$5:$B$1004,B114,'Mug Log'!$A$5:$A$1004,L114))</f>
        <v/>
      </c>
      <c r="N114" s="8" t="str">
        <f aca="false">IF(L114="","",L114+Settings!$B$7/24)</f>
        <v/>
      </c>
      <c r="O114" s="8" t="str">
        <f aca="false">IF(N114="","",N114+Settings!$B$6/24)</f>
        <v/>
      </c>
      <c r="P114" s="10" t="str">
        <f aca="false">IF(B114="","",IF(L114="","Never hit",IF(N114&lt;=Settings!$B$8,"READY","Cooldown")))</f>
        <v/>
      </c>
      <c r="Q114" s="11" t="str">
        <f aca="false">IF(P114="Cooldown",N114-Settings!$B$8,"")</f>
        <v/>
      </c>
      <c r="R114" s="12" t="str">
        <f aca="false">IF(B114="","",COUNTIF('Mug Log'!$B$5:$B$1004,B114))</f>
        <v/>
      </c>
      <c r="S114" s="9" t="str">
        <f aca="false">IF(B114="","",SUMIFS('Mug Log'!$D$5:$D$1004,'Mug Log'!$B$5:$B$1004,B114))</f>
        <v/>
      </c>
      <c r="T114" s="9" t="str">
        <f aca="false">IF(OR(B114="",R114=0),"",S114/R114)</f>
        <v/>
      </c>
      <c r="U114" s="4"/>
    </row>
    <row r="115" customFormat="false" ht="15" hidden="false" customHeight="false" outlineLevel="0" collapsed="false">
      <c r="A115" s="4"/>
      <c r="B115" s="5"/>
      <c r="C115" s="4"/>
      <c r="D115" s="6"/>
      <c r="E115" s="4"/>
      <c r="F115" s="4"/>
      <c r="G115" s="6"/>
      <c r="H115" s="4"/>
      <c r="I115" s="4"/>
      <c r="J115" s="7" t="str">
        <f aca="false">IF(B115="","",HYPERLINK("https://www.torn.com/profiles.php?XID="&amp;B115,"Profile"))</f>
        <v/>
      </c>
      <c r="K115" s="7" t="str">
        <f aca="false">IF(B115="","",HYPERLINK("https://www.torn.com/loader.php?sid=attack&amp;user2ID="&amp;B115,"Attack"))</f>
        <v/>
      </c>
      <c r="L115" s="8" t="str">
        <f aca="false">IF(B115="","",IF(COUNTIF('Mug Log'!$B$5:$B$1004,B115)=0,"",_xlfn.MAXIFS('Mug Log'!$A$5:$A$1004,'Mug Log'!$B$5:$B$1004,B115)))</f>
        <v/>
      </c>
      <c r="M115" s="9" t="str">
        <f aca="false">IF(L115="","",SUMIFS('Mug Log'!$D$5:$D$1004,'Mug Log'!$B$5:$B$1004,B115,'Mug Log'!$A$5:$A$1004,L115))</f>
        <v/>
      </c>
      <c r="N115" s="8" t="str">
        <f aca="false">IF(L115="","",L115+Settings!$B$7/24)</f>
        <v/>
      </c>
      <c r="O115" s="8" t="str">
        <f aca="false">IF(N115="","",N115+Settings!$B$6/24)</f>
        <v/>
      </c>
      <c r="P115" s="10" t="str">
        <f aca="false">IF(B115="","",IF(L115="","Never hit",IF(N115&lt;=Settings!$B$8,"READY","Cooldown")))</f>
        <v/>
      </c>
      <c r="Q115" s="11" t="str">
        <f aca="false">IF(P115="Cooldown",N115-Settings!$B$8,"")</f>
        <v/>
      </c>
      <c r="R115" s="12" t="str">
        <f aca="false">IF(B115="","",COUNTIF('Mug Log'!$B$5:$B$1004,B115))</f>
        <v/>
      </c>
      <c r="S115" s="9" t="str">
        <f aca="false">IF(B115="","",SUMIFS('Mug Log'!$D$5:$D$1004,'Mug Log'!$B$5:$B$1004,B115))</f>
        <v/>
      </c>
      <c r="T115" s="9" t="str">
        <f aca="false">IF(OR(B115="",R115=0),"",S115/R115)</f>
        <v/>
      </c>
      <c r="U115" s="4"/>
    </row>
    <row r="116" customFormat="false" ht="15" hidden="false" customHeight="false" outlineLevel="0" collapsed="false">
      <c r="A116" s="4"/>
      <c r="B116" s="5"/>
      <c r="C116" s="4"/>
      <c r="D116" s="6"/>
      <c r="E116" s="4"/>
      <c r="F116" s="4"/>
      <c r="G116" s="6"/>
      <c r="H116" s="4"/>
      <c r="I116" s="4"/>
      <c r="J116" s="7" t="str">
        <f aca="false">IF(B116="","",HYPERLINK("https://www.torn.com/profiles.php?XID="&amp;B116,"Profile"))</f>
        <v/>
      </c>
      <c r="K116" s="7" t="str">
        <f aca="false">IF(B116="","",HYPERLINK("https://www.torn.com/loader.php?sid=attack&amp;user2ID="&amp;B116,"Attack"))</f>
        <v/>
      </c>
      <c r="L116" s="8" t="str">
        <f aca="false">IF(B116="","",IF(COUNTIF('Mug Log'!$B$5:$B$1004,B116)=0,"",_xlfn.MAXIFS('Mug Log'!$A$5:$A$1004,'Mug Log'!$B$5:$B$1004,B116)))</f>
        <v/>
      </c>
      <c r="M116" s="9" t="str">
        <f aca="false">IF(L116="","",SUMIFS('Mug Log'!$D$5:$D$1004,'Mug Log'!$B$5:$B$1004,B116,'Mug Log'!$A$5:$A$1004,L116))</f>
        <v/>
      </c>
      <c r="N116" s="8" t="str">
        <f aca="false">IF(L116="","",L116+Settings!$B$7/24)</f>
        <v/>
      </c>
      <c r="O116" s="8" t="str">
        <f aca="false">IF(N116="","",N116+Settings!$B$6/24)</f>
        <v/>
      </c>
      <c r="P116" s="10" t="str">
        <f aca="false">IF(B116="","",IF(L116="","Never hit",IF(N116&lt;=Settings!$B$8,"READY","Cooldown")))</f>
        <v/>
      </c>
      <c r="Q116" s="11" t="str">
        <f aca="false">IF(P116="Cooldown",N116-Settings!$B$8,"")</f>
        <v/>
      </c>
      <c r="R116" s="12" t="str">
        <f aca="false">IF(B116="","",COUNTIF('Mug Log'!$B$5:$B$1004,B116))</f>
        <v/>
      </c>
      <c r="S116" s="9" t="str">
        <f aca="false">IF(B116="","",SUMIFS('Mug Log'!$D$5:$D$1004,'Mug Log'!$B$5:$B$1004,B116))</f>
        <v/>
      </c>
      <c r="T116" s="9" t="str">
        <f aca="false">IF(OR(B116="",R116=0),"",S116/R116)</f>
        <v/>
      </c>
      <c r="U116" s="4"/>
    </row>
    <row r="117" customFormat="false" ht="15" hidden="false" customHeight="false" outlineLevel="0" collapsed="false">
      <c r="A117" s="4"/>
      <c r="B117" s="5"/>
      <c r="C117" s="4"/>
      <c r="D117" s="6"/>
      <c r="E117" s="4"/>
      <c r="F117" s="4"/>
      <c r="G117" s="6"/>
      <c r="H117" s="4"/>
      <c r="I117" s="4"/>
      <c r="J117" s="7" t="str">
        <f aca="false">IF(B117="","",HYPERLINK("https://www.torn.com/profiles.php?XID="&amp;B117,"Profile"))</f>
        <v/>
      </c>
      <c r="K117" s="7" t="str">
        <f aca="false">IF(B117="","",HYPERLINK("https://www.torn.com/loader.php?sid=attack&amp;user2ID="&amp;B117,"Attack"))</f>
        <v/>
      </c>
      <c r="L117" s="8" t="str">
        <f aca="false">IF(B117="","",IF(COUNTIF('Mug Log'!$B$5:$B$1004,B117)=0,"",_xlfn.MAXIFS('Mug Log'!$A$5:$A$1004,'Mug Log'!$B$5:$B$1004,B117)))</f>
        <v/>
      </c>
      <c r="M117" s="9" t="str">
        <f aca="false">IF(L117="","",SUMIFS('Mug Log'!$D$5:$D$1004,'Mug Log'!$B$5:$B$1004,B117,'Mug Log'!$A$5:$A$1004,L117))</f>
        <v/>
      </c>
      <c r="N117" s="8" t="str">
        <f aca="false">IF(L117="","",L117+Settings!$B$7/24)</f>
        <v/>
      </c>
      <c r="O117" s="8" t="str">
        <f aca="false">IF(N117="","",N117+Settings!$B$6/24)</f>
        <v/>
      </c>
      <c r="P117" s="10" t="str">
        <f aca="false">IF(B117="","",IF(L117="","Never hit",IF(N117&lt;=Settings!$B$8,"READY","Cooldown")))</f>
        <v/>
      </c>
      <c r="Q117" s="11" t="str">
        <f aca="false">IF(P117="Cooldown",N117-Settings!$B$8,"")</f>
        <v/>
      </c>
      <c r="R117" s="12" t="str">
        <f aca="false">IF(B117="","",COUNTIF('Mug Log'!$B$5:$B$1004,B117))</f>
        <v/>
      </c>
      <c r="S117" s="9" t="str">
        <f aca="false">IF(B117="","",SUMIFS('Mug Log'!$D$5:$D$1004,'Mug Log'!$B$5:$B$1004,B117))</f>
        <v/>
      </c>
      <c r="T117" s="9" t="str">
        <f aca="false">IF(OR(B117="",R117=0),"",S117/R117)</f>
        <v/>
      </c>
      <c r="U117" s="4"/>
    </row>
    <row r="118" customFormat="false" ht="15" hidden="false" customHeight="false" outlineLevel="0" collapsed="false">
      <c r="A118" s="4"/>
      <c r="B118" s="5"/>
      <c r="C118" s="4"/>
      <c r="D118" s="6"/>
      <c r="E118" s="4"/>
      <c r="F118" s="4"/>
      <c r="G118" s="6"/>
      <c r="H118" s="4"/>
      <c r="I118" s="4"/>
      <c r="J118" s="7" t="str">
        <f aca="false">IF(B118="","",HYPERLINK("https://www.torn.com/profiles.php?XID="&amp;B118,"Profile"))</f>
        <v/>
      </c>
      <c r="K118" s="7" t="str">
        <f aca="false">IF(B118="","",HYPERLINK("https://www.torn.com/loader.php?sid=attack&amp;user2ID="&amp;B118,"Attack"))</f>
        <v/>
      </c>
      <c r="L118" s="8" t="str">
        <f aca="false">IF(B118="","",IF(COUNTIF('Mug Log'!$B$5:$B$1004,B118)=0,"",_xlfn.MAXIFS('Mug Log'!$A$5:$A$1004,'Mug Log'!$B$5:$B$1004,B118)))</f>
        <v/>
      </c>
      <c r="M118" s="9" t="str">
        <f aca="false">IF(L118="","",SUMIFS('Mug Log'!$D$5:$D$1004,'Mug Log'!$B$5:$B$1004,B118,'Mug Log'!$A$5:$A$1004,L118))</f>
        <v/>
      </c>
      <c r="N118" s="8" t="str">
        <f aca="false">IF(L118="","",L118+Settings!$B$7/24)</f>
        <v/>
      </c>
      <c r="O118" s="8" t="str">
        <f aca="false">IF(N118="","",N118+Settings!$B$6/24)</f>
        <v/>
      </c>
      <c r="P118" s="10" t="str">
        <f aca="false">IF(B118="","",IF(L118="","Never hit",IF(N118&lt;=Settings!$B$8,"READY","Cooldown")))</f>
        <v/>
      </c>
      <c r="Q118" s="11" t="str">
        <f aca="false">IF(P118="Cooldown",N118-Settings!$B$8,"")</f>
        <v/>
      </c>
      <c r="R118" s="12" t="str">
        <f aca="false">IF(B118="","",COUNTIF('Mug Log'!$B$5:$B$1004,B118))</f>
        <v/>
      </c>
      <c r="S118" s="9" t="str">
        <f aca="false">IF(B118="","",SUMIFS('Mug Log'!$D$5:$D$1004,'Mug Log'!$B$5:$B$1004,B118))</f>
        <v/>
      </c>
      <c r="T118" s="9" t="str">
        <f aca="false">IF(OR(B118="",R118=0),"",S118/R118)</f>
        <v/>
      </c>
      <c r="U118" s="4"/>
    </row>
    <row r="119" customFormat="false" ht="15" hidden="false" customHeight="false" outlineLevel="0" collapsed="false">
      <c r="A119" s="4"/>
      <c r="B119" s="5"/>
      <c r="C119" s="4"/>
      <c r="D119" s="6"/>
      <c r="E119" s="4"/>
      <c r="F119" s="4"/>
      <c r="G119" s="6"/>
      <c r="H119" s="4"/>
      <c r="I119" s="4"/>
      <c r="J119" s="7" t="str">
        <f aca="false">IF(B119="","",HYPERLINK("https://www.torn.com/profiles.php?XID="&amp;B119,"Profile"))</f>
        <v/>
      </c>
      <c r="K119" s="7" t="str">
        <f aca="false">IF(B119="","",HYPERLINK("https://www.torn.com/loader.php?sid=attack&amp;user2ID="&amp;B119,"Attack"))</f>
        <v/>
      </c>
      <c r="L119" s="8" t="str">
        <f aca="false">IF(B119="","",IF(COUNTIF('Mug Log'!$B$5:$B$1004,B119)=0,"",_xlfn.MAXIFS('Mug Log'!$A$5:$A$1004,'Mug Log'!$B$5:$B$1004,B119)))</f>
        <v/>
      </c>
      <c r="M119" s="9" t="str">
        <f aca="false">IF(L119="","",SUMIFS('Mug Log'!$D$5:$D$1004,'Mug Log'!$B$5:$B$1004,B119,'Mug Log'!$A$5:$A$1004,L119))</f>
        <v/>
      </c>
      <c r="N119" s="8" t="str">
        <f aca="false">IF(L119="","",L119+Settings!$B$7/24)</f>
        <v/>
      </c>
      <c r="O119" s="8" t="str">
        <f aca="false">IF(N119="","",N119+Settings!$B$6/24)</f>
        <v/>
      </c>
      <c r="P119" s="10" t="str">
        <f aca="false">IF(B119="","",IF(L119="","Never hit",IF(N119&lt;=Settings!$B$8,"READY","Cooldown")))</f>
        <v/>
      </c>
      <c r="Q119" s="11" t="str">
        <f aca="false">IF(P119="Cooldown",N119-Settings!$B$8,"")</f>
        <v/>
      </c>
      <c r="R119" s="12" t="str">
        <f aca="false">IF(B119="","",COUNTIF('Mug Log'!$B$5:$B$1004,B119))</f>
        <v/>
      </c>
      <c r="S119" s="9" t="str">
        <f aca="false">IF(B119="","",SUMIFS('Mug Log'!$D$5:$D$1004,'Mug Log'!$B$5:$B$1004,B119))</f>
        <v/>
      </c>
      <c r="T119" s="9" t="str">
        <f aca="false">IF(OR(B119="",R119=0),"",S119/R119)</f>
        <v/>
      </c>
      <c r="U119" s="4"/>
    </row>
    <row r="120" customFormat="false" ht="15" hidden="false" customHeight="false" outlineLevel="0" collapsed="false">
      <c r="A120" s="4"/>
      <c r="B120" s="5"/>
      <c r="C120" s="4"/>
      <c r="D120" s="6"/>
      <c r="E120" s="4"/>
      <c r="F120" s="4"/>
      <c r="G120" s="6"/>
      <c r="H120" s="4"/>
      <c r="I120" s="4"/>
      <c r="J120" s="7" t="str">
        <f aca="false">IF(B120="","",HYPERLINK("https://www.torn.com/profiles.php?XID="&amp;B120,"Profile"))</f>
        <v/>
      </c>
      <c r="K120" s="7" t="str">
        <f aca="false">IF(B120="","",HYPERLINK("https://www.torn.com/loader.php?sid=attack&amp;user2ID="&amp;B120,"Attack"))</f>
        <v/>
      </c>
      <c r="L120" s="8" t="str">
        <f aca="false">IF(B120="","",IF(COUNTIF('Mug Log'!$B$5:$B$1004,B120)=0,"",_xlfn.MAXIFS('Mug Log'!$A$5:$A$1004,'Mug Log'!$B$5:$B$1004,B120)))</f>
        <v/>
      </c>
      <c r="M120" s="9" t="str">
        <f aca="false">IF(L120="","",SUMIFS('Mug Log'!$D$5:$D$1004,'Mug Log'!$B$5:$B$1004,B120,'Mug Log'!$A$5:$A$1004,L120))</f>
        <v/>
      </c>
      <c r="N120" s="8" t="str">
        <f aca="false">IF(L120="","",L120+Settings!$B$7/24)</f>
        <v/>
      </c>
      <c r="O120" s="8" t="str">
        <f aca="false">IF(N120="","",N120+Settings!$B$6/24)</f>
        <v/>
      </c>
      <c r="P120" s="10" t="str">
        <f aca="false">IF(B120="","",IF(L120="","Never hit",IF(N120&lt;=Settings!$B$8,"READY","Cooldown")))</f>
        <v/>
      </c>
      <c r="Q120" s="11" t="str">
        <f aca="false">IF(P120="Cooldown",N120-Settings!$B$8,"")</f>
        <v/>
      </c>
      <c r="R120" s="12" t="str">
        <f aca="false">IF(B120="","",COUNTIF('Mug Log'!$B$5:$B$1004,B120))</f>
        <v/>
      </c>
      <c r="S120" s="9" t="str">
        <f aca="false">IF(B120="","",SUMIFS('Mug Log'!$D$5:$D$1004,'Mug Log'!$B$5:$B$1004,B120))</f>
        <v/>
      </c>
      <c r="T120" s="9" t="str">
        <f aca="false">IF(OR(B120="",R120=0),"",S120/R120)</f>
        <v/>
      </c>
      <c r="U120" s="4"/>
    </row>
    <row r="121" customFormat="false" ht="15" hidden="false" customHeight="false" outlineLevel="0" collapsed="false">
      <c r="A121" s="4"/>
      <c r="B121" s="5"/>
      <c r="C121" s="4"/>
      <c r="D121" s="6"/>
      <c r="E121" s="4"/>
      <c r="F121" s="4"/>
      <c r="G121" s="6"/>
      <c r="H121" s="4"/>
      <c r="I121" s="4"/>
      <c r="J121" s="7" t="str">
        <f aca="false">IF(B121="","",HYPERLINK("https://www.torn.com/profiles.php?XID="&amp;B121,"Profile"))</f>
        <v/>
      </c>
      <c r="K121" s="7" t="str">
        <f aca="false">IF(B121="","",HYPERLINK("https://www.torn.com/loader.php?sid=attack&amp;user2ID="&amp;B121,"Attack"))</f>
        <v/>
      </c>
      <c r="L121" s="8" t="str">
        <f aca="false">IF(B121="","",IF(COUNTIF('Mug Log'!$B$5:$B$1004,B121)=0,"",_xlfn.MAXIFS('Mug Log'!$A$5:$A$1004,'Mug Log'!$B$5:$B$1004,B121)))</f>
        <v/>
      </c>
      <c r="M121" s="9" t="str">
        <f aca="false">IF(L121="","",SUMIFS('Mug Log'!$D$5:$D$1004,'Mug Log'!$B$5:$B$1004,B121,'Mug Log'!$A$5:$A$1004,L121))</f>
        <v/>
      </c>
      <c r="N121" s="8" t="str">
        <f aca="false">IF(L121="","",L121+Settings!$B$7/24)</f>
        <v/>
      </c>
      <c r="O121" s="8" t="str">
        <f aca="false">IF(N121="","",N121+Settings!$B$6/24)</f>
        <v/>
      </c>
      <c r="P121" s="10" t="str">
        <f aca="false">IF(B121="","",IF(L121="","Never hit",IF(N121&lt;=Settings!$B$8,"READY","Cooldown")))</f>
        <v/>
      </c>
      <c r="Q121" s="11" t="str">
        <f aca="false">IF(P121="Cooldown",N121-Settings!$B$8,"")</f>
        <v/>
      </c>
      <c r="R121" s="12" t="str">
        <f aca="false">IF(B121="","",COUNTIF('Mug Log'!$B$5:$B$1004,B121))</f>
        <v/>
      </c>
      <c r="S121" s="9" t="str">
        <f aca="false">IF(B121="","",SUMIFS('Mug Log'!$D$5:$D$1004,'Mug Log'!$B$5:$B$1004,B121))</f>
        <v/>
      </c>
      <c r="T121" s="9" t="str">
        <f aca="false">IF(OR(B121="",R121=0),"",S121/R121)</f>
        <v/>
      </c>
      <c r="U121" s="4"/>
    </row>
    <row r="122" customFormat="false" ht="15" hidden="false" customHeight="false" outlineLevel="0" collapsed="false">
      <c r="A122" s="4"/>
      <c r="B122" s="5"/>
      <c r="C122" s="4"/>
      <c r="D122" s="6"/>
      <c r="E122" s="4"/>
      <c r="F122" s="4"/>
      <c r="G122" s="6"/>
      <c r="H122" s="4"/>
      <c r="I122" s="4"/>
      <c r="J122" s="7" t="str">
        <f aca="false">IF(B122="","",HYPERLINK("https://www.torn.com/profiles.php?XID="&amp;B122,"Profile"))</f>
        <v/>
      </c>
      <c r="K122" s="7" t="str">
        <f aca="false">IF(B122="","",HYPERLINK("https://www.torn.com/loader.php?sid=attack&amp;user2ID="&amp;B122,"Attack"))</f>
        <v/>
      </c>
      <c r="L122" s="8" t="str">
        <f aca="false">IF(B122="","",IF(COUNTIF('Mug Log'!$B$5:$B$1004,B122)=0,"",_xlfn.MAXIFS('Mug Log'!$A$5:$A$1004,'Mug Log'!$B$5:$B$1004,B122)))</f>
        <v/>
      </c>
      <c r="M122" s="9" t="str">
        <f aca="false">IF(L122="","",SUMIFS('Mug Log'!$D$5:$D$1004,'Mug Log'!$B$5:$B$1004,B122,'Mug Log'!$A$5:$A$1004,L122))</f>
        <v/>
      </c>
      <c r="N122" s="8" t="str">
        <f aca="false">IF(L122="","",L122+Settings!$B$7/24)</f>
        <v/>
      </c>
      <c r="O122" s="8" t="str">
        <f aca="false">IF(N122="","",N122+Settings!$B$6/24)</f>
        <v/>
      </c>
      <c r="P122" s="10" t="str">
        <f aca="false">IF(B122="","",IF(L122="","Never hit",IF(N122&lt;=Settings!$B$8,"READY","Cooldown")))</f>
        <v/>
      </c>
      <c r="Q122" s="11" t="str">
        <f aca="false">IF(P122="Cooldown",N122-Settings!$B$8,"")</f>
        <v/>
      </c>
      <c r="R122" s="12" t="str">
        <f aca="false">IF(B122="","",COUNTIF('Mug Log'!$B$5:$B$1004,B122))</f>
        <v/>
      </c>
      <c r="S122" s="9" t="str">
        <f aca="false">IF(B122="","",SUMIFS('Mug Log'!$D$5:$D$1004,'Mug Log'!$B$5:$B$1004,B122))</f>
        <v/>
      </c>
      <c r="T122" s="9" t="str">
        <f aca="false">IF(OR(B122="",R122=0),"",S122/R122)</f>
        <v/>
      </c>
      <c r="U122" s="4"/>
    </row>
    <row r="123" customFormat="false" ht="15" hidden="false" customHeight="false" outlineLevel="0" collapsed="false">
      <c r="A123" s="4"/>
      <c r="B123" s="5"/>
      <c r="C123" s="4"/>
      <c r="D123" s="6"/>
      <c r="E123" s="4"/>
      <c r="F123" s="4"/>
      <c r="G123" s="6"/>
      <c r="H123" s="4"/>
      <c r="I123" s="4"/>
      <c r="J123" s="7" t="str">
        <f aca="false">IF(B123="","",HYPERLINK("https://www.torn.com/profiles.php?XID="&amp;B123,"Profile"))</f>
        <v/>
      </c>
      <c r="K123" s="7" t="str">
        <f aca="false">IF(B123="","",HYPERLINK("https://www.torn.com/loader.php?sid=attack&amp;user2ID="&amp;B123,"Attack"))</f>
        <v/>
      </c>
      <c r="L123" s="8" t="str">
        <f aca="false">IF(B123="","",IF(COUNTIF('Mug Log'!$B$5:$B$1004,B123)=0,"",_xlfn.MAXIFS('Mug Log'!$A$5:$A$1004,'Mug Log'!$B$5:$B$1004,B123)))</f>
        <v/>
      </c>
      <c r="M123" s="9" t="str">
        <f aca="false">IF(L123="","",SUMIFS('Mug Log'!$D$5:$D$1004,'Mug Log'!$B$5:$B$1004,B123,'Mug Log'!$A$5:$A$1004,L123))</f>
        <v/>
      </c>
      <c r="N123" s="8" t="str">
        <f aca="false">IF(L123="","",L123+Settings!$B$7/24)</f>
        <v/>
      </c>
      <c r="O123" s="8" t="str">
        <f aca="false">IF(N123="","",N123+Settings!$B$6/24)</f>
        <v/>
      </c>
      <c r="P123" s="10" t="str">
        <f aca="false">IF(B123="","",IF(L123="","Never hit",IF(N123&lt;=Settings!$B$8,"READY","Cooldown")))</f>
        <v/>
      </c>
      <c r="Q123" s="11" t="str">
        <f aca="false">IF(P123="Cooldown",N123-Settings!$B$8,"")</f>
        <v/>
      </c>
      <c r="R123" s="12" t="str">
        <f aca="false">IF(B123="","",COUNTIF('Mug Log'!$B$5:$B$1004,B123))</f>
        <v/>
      </c>
      <c r="S123" s="9" t="str">
        <f aca="false">IF(B123="","",SUMIFS('Mug Log'!$D$5:$D$1004,'Mug Log'!$B$5:$B$1004,B123))</f>
        <v/>
      </c>
      <c r="T123" s="9" t="str">
        <f aca="false">IF(OR(B123="",R123=0),"",S123/R123)</f>
        <v/>
      </c>
      <c r="U123" s="4"/>
    </row>
    <row r="124" customFormat="false" ht="15" hidden="false" customHeight="false" outlineLevel="0" collapsed="false">
      <c r="A124" s="4"/>
      <c r="B124" s="5"/>
      <c r="C124" s="4"/>
      <c r="D124" s="6"/>
      <c r="E124" s="4"/>
      <c r="F124" s="4"/>
      <c r="G124" s="6"/>
      <c r="H124" s="4"/>
      <c r="I124" s="4"/>
      <c r="J124" s="7" t="str">
        <f aca="false">IF(B124="","",HYPERLINK("https://www.torn.com/profiles.php?XID="&amp;B124,"Profile"))</f>
        <v/>
      </c>
      <c r="K124" s="7" t="str">
        <f aca="false">IF(B124="","",HYPERLINK("https://www.torn.com/loader.php?sid=attack&amp;user2ID="&amp;B124,"Attack"))</f>
        <v/>
      </c>
      <c r="L124" s="8" t="str">
        <f aca="false">IF(B124="","",IF(COUNTIF('Mug Log'!$B$5:$B$1004,B124)=0,"",_xlfn.MAXIFS('Mug Log'!$A$5:$A$1004,'Mug Log'!$B$5:$B$1004,B124)))</f>
        <v/>
      </c>
      <c r="M124" s="9" t="str">
        <f aca="false">IF(L124="","",SUMIFS('Mug Log'!$D$5:$D$1004,'Mug Log'!$B$5:$B$1004,B124,'Mug Log'!$A$5:$A$1004,L124))</f>
        <v/>
      </c>
      <c r="N124" s="8" t="str">
        <f aca="false">IF(L124="","",L124+Settings!$B$7/24)</f>
        <v/>
      </c>
      <c r="O124" s="8" t="str">
        <f aca="false">IF(N124="","",N124+Settings!$B$6/24)</f>
        <v/>
      </c>
      <c r="P124" s="10" t="str">
        <f aca="false">IF(B124="","",IF(L124="","Never hit",IF(N124&lt;=Settings!$B$8,"READY","Cooldown")))</f>
        <v/>
      </c>
      <c r="Q124" s="11" t="str">
        <f aca="false">IF(P124="Cooldown",N124-Settings!$B$8,"")</f>
        <v/>
      </c>
      <c r="R124" s="12" t="str">
        <f aca="false">IF(B124="","",COUNTIF('Mug Log'!$B$5:$B$1004,B124))</f>
        <v/>
      </c>
      <c r="S124" s="9" t="str">
        <f aca="false">IF(B124="","",SUMIFS('Mug Log'!$D$5:$D$1004,'Mug Log'!$B$5:$B$1004,B124))</f>
        <v/>
      </c>
      <c r="T124" s="9" t="str">
        <f aca="false">IF(OR(B124="",R124=0),"",S124/R124)</f>
        <v/>
      </c>
      <c r="U124" s="4"/>
    </row>
    <row r="125" customFormat="false" ht="15" hidden="false" customHeight="false" outlineLevel="0" collapsed="false">
      <c r="A125" s="4"/>
      <c r="B125" s="5"/>
      <c r="C125" s="4"/>
      <c r="D125" s="6"/>
      <c r="E125" s="4"/>
      <c r="F125" s="4"/>
      <c r="G125" s="6"/>
      <c r="H125" s="4"/>
      <c r="I125" s="4"/>
      <c r="J125" s="7" t="str">
        <f aca="false">IF(B125="","",HYPERLINK("https://www.torn.com/profiles.php?XID="&amp;B125,"Profile"))</f>
        <v/>
      </c>
      <c r="K125" s="7" t="str">
        <f aca="false">IF(B125="","",HYPERLINK("https://www.torn.com/loader.php?sid=attack&amp;user2ID="&amp;B125,"Attack"))</f>
        <v/>
      </c>
      <c r="L125" s="8" t="str">
        <f aca="false">IF(B125="","",IF(COUNTIF('Mug Log'!$B$5:$B$1004,B125)=0,"",_xlfn.MAXIFS('Mug Log'!$A$5:$A$1004,'Mug Log'!$B$5:$B$1004,B125)))</f>
        <v/>
      </c>
      <c r="M125" s="9" t="str">
        <f aca="false">IF(L125="","",SUMIFS('Mug Log'!$D$5:$D$1004,'Mug Log'!$B$5:$B$1004,B125,'Mug Log'!$A$5:$A$1004,L125))</f>
        <v/>
      </c>
      <c r="N125" s="8" t="str">
        <f aca="false">IF(L125="","",L125+Settings!$B$7/24)</f>
        <v/>
      </c>
      <c r="O125" s="8" t="str">
        <f aca="false">IF(N125="","",N125+Settings!$B$6/24)</f>
        <v/>
      </c>
      <c r="P125" s="10" t="str">
        <f aca="false">IF(B125="","",IF(L125="","Never hit",IF(N125&lt;=Settings!$B$8,"READY","Cooldown")))</f>
        <v/>
      </c>
      <c r="Q125" s="11" t="str">
        <f aca="false">IF(P125="Cooldown",N125-Settings!$B$8,"")</f>
        <v/>
      </c>
      <c r="R125" s="12" t="str">
        <f aca="false">IF(B125="","",COUNTIF('Mug Log'!$B$5:$B$1004,B125))</f>
        <v/>
      </c>
      <c r="S125" s="9" t="str">
        <f aca="false">IF(B125="","",SUMIFS('Mug Log'!$D$5:$D$1004,'Mug Log'!$B$5:$B$1004,B125))</f>
        <v/>
      </c>
      <c r="T125" s="9" t="str">
        <f aca="false">IF(OR(B125="",R125=0),"",S125/R125)</f>
        <v/>
      </c>
      <c r="U125" s="4"/>
    </row>
    <row r="126" customFormat="false" ht="15" hidden="false" customHeight="false" outlineLevel="0" collapsed="false">
      <c r="A126" s="4"/>
      <c r="B126" s="5"/>
      <c r="C126" s="4"/>
      <c r="D126" s="6"/>
      <c r="E126" s="4"/>
      <c r="F126" s="4"/>
      <c r="G126" s="6"/>
      <c r="H126" s="4"/>
      <c r="I126" s="4"/>
      <c r="J126" s="7" t="str">
        <f aca="false">IF(B126="","",HYPERLINK("https://www.torn.com/profiles.php?XID="&amp;B126,"Profile"))</f>
        <v/>
      </c>
      <c r="K126" s="7" t="str">
        <f aca="false">IF(B126="","",HYPERLINK("https://www.torn.com/loader.php?sid=attack&amp;user2ID="&amp;B126,"Attack"))</f>
        <v/>
      </c>
      <c r="L126" s="8" t="str">
        <f aca="false">IF(B126="","",IF(COUNTIF('Mug Log'!$B$5:$B$1004,B126)=0,"",_xlfn.MAXIFS('Mug Log'!$A$5:$A$1004,'Mug Log'!$B$5:$B$1004,B126)))</f>
        <v/>
      </c>
      <c r="M126" s="9" t="str">
        <f aca="false">IF(L126="","",SUMIFS('Mug Log'!$D$5:$D$1004,'Mug Log'!$B$5:$B$1004,B126,'Mug Log'!$A$5:$A$1004,L126))</f>
        <v/>
      </c>
      <c r="N126" s="8" t="str">
        <f aca="false">IF(L126="","",L126+Settings!$B$7/24)</f>
        <v/>
      </c>
      <c r="O126" s="8" t="str">
        <f aca="false">IF(N126="","",N126+Settings!$B$6/24)</f>
        <v/>
      </c>
      <c r="P126" s="10" t="str">
        <f aca="false">IF(B126="","",IF(L126="","Never hit",IF(N126&lt;=Settings!$B$8,"READY","Cooldown")))</f>
        <v/>
      </c>
      <c r="Q126" s="11" t="str">
        <f aca="false">IF(P126="Cooldown",N126-Settings!$B$8,"")</f>
        <v/>
      </c>
      <c r="R126" s="12" t="str">
        <f aca="false">IF(B126="","",COUNTIF('Mug Log'!$B$5:$B$1004,B126))</f>
        <v/>
      </c>
      <c r="S126" s="9" t="str">
        <f aca="false">IF(B126="","",SUMIFS('Mug Log'!$D$5:$D$1004,'Mug Log'!$B$5:$B$1004,B126))</f>
        <v/>
      </c>
      <c r="T126" s="9" t="str">
        <f aca="false">IF(OR(B126="",R126=0),"",S126/R126)</f>
        <v/>
      </c>
      <c r="U126" s="4"/>
    </row>
    <row r="127" customFormat="false" ht="15" hidden="false" customHeight="false" outlineLevel="0" collapsed="false">
      <c r="A127" s="4"/>
      <c r="B127" s="5"/>
      <c r="C127" s="4"/>
      <c r="D127" s="6"/>
      <c r="E127" s="4"/>
      <c r="F127" s="4"/>
      <c r="G127" s="6"/>
      <c r="H127" s="4"/>
      <c r="I127" s="4"/>
      <c r="J127" s="7" t="str">
        <f aca="false">IF(B127="","",HYPERLINK("https://www.torn.com/profiles.php?XID="&amp;B127,"Profile"))</f>
        <v/>
      </c>
      <c r="K127" s="7" t="str">
        <f aca="false">IF(B127="","",HYPERLINK("https://www.torn.com/loader.php?sid=attack&amp;user2ID="&amp;B127,"Attack"))</f>
        <v/>
      </c>
      <c r="L127" s="8" t="str">
        <f aca="false">IF(B127="","",IF(COUNTIF('Mug Log'!$B$5:$B$1004,B127)=0,"",_xlfn.MAXIFS('Mug Log'!$A$5:$A$1004,'Mug Log'!$B$5:$B$1004,B127)))</f>
        <v/>
      </c>
      <c r="M127" s="9" t="str">
        <f aca="false">IF(L127="","",SUMIFS('Mug Log'!$D$5:$D$1004,'Mug Log'!$B$5:$B$1004,B127,'Mug Log'!$A$5:$A$1004,L127))</f>
        <v/>
      </c>
      <c r="N127" s="8" t="str">
        <f aca="false">IF(L127="","",L127+Settings!$B$7/24)</f>
        <v/>
      </c>
      <c r="O127" s="8" t="str">
        <f aca="false">IF(N127="","",N127+Settings!$B$6/24)</f>
        <v/>
      </c>
      <c r="P127" s="10" t="str">
        <f aca="false">IF(B127="","",IF(L127="","Never hit",IF(N127&lt;=Settings!$B$8,"READY","Cooldown")))</f>
        <v/>
      </c>
      <c r="Q127" s="11" t="str">
        <f aca="false">IF(P127="Cooldown",N127-Settings!$B$8,"")</f>
        <v/>
      </c>
      <c r="R127" s="12" t="str">
        <f aca="false">IF(B127="","",COUNTIF('Mug Log'!$B$5:$B$1004,B127))</f>
        <v/>
      </c>
      <c r="S127" s="9" t="str">
        <f aca="false">IF(B127="","",SUMIFS('Mug Log'!$D$5:$D$1004,'Mug Log'!$B$5:$B$1004,B127))</f>
        <v/>
      </c>
      <c r="T127" s="9" t="str">
        <f aca="false">IF(OR(B127="",R127=0),"",S127/R127)</f>
        <v/>
      </c>
      <c r="U127" s="4"/>
    </row>
    <row r="128" customFormat="false" ht="15" hidden="false" customHeight="false" outlineLevel="0" collapsed="false">
      <c r="A128" s="4"/>
      <c r="B128" s="5"/>
      <c r="C128" s="4"/>
      <c r="D128" s="6"/>
      <c r="E128" s="4"/>
      <c r="F128" s="4"/>
      <c r="G128" s="6"/>
      <c r="H128" s="4"/>
      <c r="I128" s="4"/>
      <c r="J128" s="7" t="str">
        <f aca="false">IF(B128="","",HYPERLINK("https://www.torn.com/profiles.php?XID="&amp;B128,"Profile"))</f>
        <v/>
      </c>
      <c r="K128" s="7" t="str">
        <f aca="false">IF(B128="","",HYPERLINK("https://www.torn.com/loader.php?sid=attack&amp;user2ID="&amp;B128,"Attack"))</f>
        <v/>
      </c>
      <c r="L128" s="8" t="str">
        <f aca="false">IF(B128="","",IF(COUNTIF('Mug Log'!$B$5:$B$1004,B128)=0,"",_xlfn.MAXIFS('Mug Log'!$A$5:$A$1004,'Mug Log'!$B$5:$B$1004,B128)))</f>
        <v/>
      </c>
      <c r="M128" s="9" t="str">
        <f aca="false">IF(L128="","",SUMIFS('Mug Log'!$D$5:$D$1004,'Mug Log'!$B$5:$B$1004,B128,'Mug Log'!$A$5:$A$1004,L128))</f>
        <v/>
      </c>
      <c r="N128" s="8" t="str">
        <f aca="false">IF(L128="","",L128+Settings!$B$7/24)</f>
        <v/>
      </c>
      <c r="O128" s="8" t="str">
        <f aca="false">IF(N128="","",N128+Settings!$B$6/24)</f>
        <v/>
      </c>
      <c r="P128" s="10" t="str">
        <f aca="false">IF(B128="","",IF(L128="","Never hit",IF(N128&lt;=Settings!$B$8,"READY","Cooldown")))</f>
        <v/>
      </c>
      <c r="Q128" s="11" t="str">
        <f aca="false">IF(P128="Cooldown",N128-Settings!$B$8,"")</f>
        <v/>
      </c>
      <c r="R128" s="12" t="str">
        <f aca="false">IF(B128="","",COUNTIF('Mug Log'!$B$5:$B$1004,B128))</f>
        <v/>
      </c>
      <c r="S128" s="9" t="str">
        <f aca="false">IF(B128="","",SUMIFS('Mug Log'!$D$5:$D$1004,'Mug Log'!$B$5:$B$1004,B128))</f>
        <v/>
      </c>
      <c r="T128" s="9" t="str">
        <f aca="false">IF(OR(B128="",R128=0),"",S128/R128)</f>
        <v/>
      </c>
      <c r="U128" s="4"/>
    </row>
    <row r="129" customFormat="false" ht="15" hidden="false" customHeight="false" outlineLevel="0" collapsed="false">
      <c r="A129" s="4"/>
      <c r="B129" s="5"/>
      <c r="C129" s="4"/>
      <c r="D129" s="6"/>
      <c r="E129" s="4"/>
      <c r="F129" s="4"/>
      <c r="G129" s="6"/>
      <c r="H129" s="4"/>
      <c r="I129" s="4"/>
      <c r="J129" s="7" t="str">
        <f aca="false">IF(B129="","",HYPERLINK("https://www.torn.com/profiles.php?XID="&amp;B129,"Profile"))</f>
        <v/>
      </c>
      <c r="K129" s="7" t="str">
        <f aca="false">IF(B129="","",HYPERLINK("https://www.torn.com/loader.php?sid=attack&amp;user2ID="&amp;B129,"Attack"))</f>
        <v/>
      </c>
      <c r="L129" s="8" t="str">
        <f aca="false">IF(B129="","",IF(COUNTIF('Mug Log'!$B$5:$B$1004,B129)=0,"",_xlfn.MAXIFS('Mug Log'!$A$5:$A$1004,'Mug Log'!$B$5:$B$1004,B129)))</f>
        <v/>
      </c>
      <c r="M129" s="9" t="str">
        <f aca="false">IF(L129="","",SUMIFS('Mug Log'!$D$5:$D$1004,'Mug Log'!$B$5:$B$1004,B129,'Mug Log'!$A$5:$A$1004,L129))</f>
        <v/>
      </c>
      <c r="N129" s="8" t="str">
        <f aca="false">IF(L129="","",L129+Settings!$B$7/24)</f>
        <v/>
      </c>
      <c r="O129" s="8" t="str">
        <f aca="false">IF(N129="","",N129+Settings!$B$6/24)</f>
        <v/>
      </c>
      <c r="P129" s="10" t="str">
        <f aca="false">IF(B129="","",IF(L129="","Never hit",IF(N129&lt;=Settings!$B$8,"READY","Cooldown")))</f>
        <v/>
      </c>
      <c r="Q129" s="11" t="str">
        <f aca="false">IF(P129="Cooldown",N129-Settings!$B$8,"")</f>
        <v/>
      </c>
      <c r="R129" s="12" t="str">
        <f aca="false">IF(B129="","",COUNTIF('Mug Log'!$B$5:$B$1004,B129))</f>
        <v/>
      </c>
      <c r="S129" s="9" t="str">
        <f aca="false">IF(B129="","",SUMIFS('Mug Log'!$D$5:$D$1004,'Mug Log'!$B$5:$B$1004,B129))</f>
        <v/>
      </c>
      <c r="T129" s="9" t="str">
        <f aca="false">IF(OR(B129="",R129=0),"",S129/R129)</f>
        <v/>
      </c>
      <c r="U129" s="4"/>
    </row>
    <row r="130" customFormat="false" ht="15" hidden="false" customHeight="false" outlineLevel="0" collapsed="false">
      <c r="A130" s="4"/>
      <c r="B130" s="5"/>
      <c r="C130" s="4"/>
      <c r="D130" s="6"/>
      <c r="E130" s="4"/>
      <c r="F130" s="4"/>
      <c r="G130" s="6"/>
      <c r="H130" s="4"/>
      <c r="I130" s="4"/>
      <c r="J130" s="7" t="str">
        <f aca="false">IF(B130="","",HYPERLINK("https://www.torn.com/profiles.php?XID="&amp;B130,"Profile"))</f>
        <v/>
      </c>
      <c r="K130" s="7" t="str">
        <f aca="false">IF(B130="","",HYPERLINK("https://www.torn.com/loader.php?sid=attack&amp;user2ID="&amp;B130,"Attack"))</f>
        <v/>
      </c>
      <c r="L130" s="8" t="str">
        <f aca="false">IF(B130="","",IF(COUNTIF('Mug Log'!$B$5:$B$1004,B130)=0,"",_xlfn.MAXIFS('Mug Log'!$A$5:$A$1004,'Mug Log'!$B$5:$B$1004,B130)))</f>
        <v/>
      </c>
      <c r="M130" s="9" t="str">
        <f aca="false">IF(L130="","",SUMIFS('Mug Log'!$D$5:$D$1004,'Mug Log'!$B$5:$B$1004,B130,'Mug Log'!$A$5:$A$1004,L130))</f>
        <v/>
      </c>
      <c r="N130" s="8" t="str">
        <f aca="false">IF(L130="","",L130+Settings!$B$7/24)</f>
        <v/>
      </c>
      <c r="O130" s="8" t="str">
        <f aca="false">IF(N130="","",N130+Settings!$B$6/24)</f>
        <v/>
      </c>
      <c r="P130" s="10" t="str">
        <f aca="false">IF(B130="","",IF(L130="","Never hit",IF(N130&lt;=Settings!$B$8,"READY","Cooldown")))</f>
        <v/>
      </c>
      <c r="Q130" s="11" t="str">
        <f aca="false">IF(P130="Cooldown",N130-Settings!$B$8,"")</f>
        <v/>
      </c>
      <c r="R130" s="12" t="str">
        <f aca="false">IF(B130="","",COUNTIF('Mug Log'!$B$5:$B$1004,B130))</f>
        <v/>
      </c>
      <c r="S130" s="9" t="str">
        <f aca="false">IF(B130="","",SUMIFS('Mug Log'!$D$5:$D$1004,'Mug Log'!$B$5:$B$1004,B130))</f>
        <v/>
      </c>
      <c r="T130" s="9" t="str">
        <f aca="false">IF(OR(B130="",R130=0),"",S130/R130)</f>
        <v/>
      </c>
      <c r="U130" s="4"/>
    </row>
    <row r="131" customFormat="false" ht="15" hidden="false" customHeight="false" outlineLevel="0" collapsed="false">
      <c r="A131" s="4"/>
      <c r="B131" s="5"/>
      <c r="C131" s="4"/>
      <c r="D131" s="6"/>
      <c r="E131" s="4"/>
      <c r="F131" s="4"/>
      <c r="G131" s="6"/>
      <c r="H131" s="4"/>
      <c r="I131" s="4"/>
      <c r="J131" s="7" t="str">
        <f aca="false">IF(B131="","",HYPERLINK("https://www.torn.com/profiles.php?XID="&amp;B131,"Profile"))</f>
        <v/>
      </c>
      <c r="K131" s="7" t="str">
        <f aca="false">IF(B131="","",HYPERLINK("https://www.torn.com/loader.php?sid=attack&amp;user2ID="&amp;B131,"Attack"))</f>
        <v/>
      </c>
      <c r="L131" s="8" t="str">
        <f aca="false">IF(B131="","",IF(COUNTIF('Mug Log'!$B$5:$B$1004,B131)=0,"",_xlfn.MAXIFS('Mug Log'!$A$5:$A$1004,'Mug Log'!$B$5:$B$1004,B131)))</f>
        <v/>
      </c>
      <c r="M131" s="9" t="str">
        <f aca="false">IF(L131="","",SUMIFS('Mug Log'!$D$5:$D$1004,'Mug Log'!$B$5:$B$1004,B131,'Mug Log'!$A$5:$A$1004,L131))</f>
        <v/>
      </c>
      <c r="N131" s="8" t="str">
        <f aca="false">IF(L131="","",L131+Settings!$B$7/24)</f>
        <v/>
      </c>
      <c r="O131" s="8" t="str">
        <f aca="false">IF(N131="","",N131+Settings!$B$6/24)</f>
        <v/>
      </c>
      <c r="P131" s="10" t="str">
        <f aca="false">IF(B131="","",IF(L131="","Never hit",IF(N131&lt;=Settings!$B$8,"READY","Cooldown")))</f>
        <v/>
      </c>
      <c r="Q131" s="11" t="str">
        <f aca="false">IF(P131="Cooldown",N131-Settings!$B$8,"")</f>
        <v/>
      </c>
      <c r="R131" s="12" t="str">
        <f aca="false">IF(B131="","",COUNTIF('Mug Log'!$B$5:$B$1004,B131))</f>
        <v/>
      </c>
      <c r="S131" s="9" t="str">
        <f aca="false">IF(B131="","",SUMIFS('Mug Log'!$D$5:$D$1004,'Mug Log'!$B$5:$B$1004,B131))</f>
        <v/>
      </c>
      <c r="T131" s="9" t="str">
        <f aca="false">IF(OR(B131="",R131=0),"",S131/R131)</f>
        <v/>
      </c>
      <c r="U131" s="4"/>
    </row>
    <row r="132" customFormat="false" ht="15" hidden="false" customHeight="false" outlineLevel="0" collapsed="false">
      <c r="A132" s="4"/>
      <c r="B132" s="5"/>
      <c r="C132" s="4"/>
      <c r="D132" s="6"/>
      <c r="E132" s="4"/>
      <c r="F132" s="4"/>
      <c r="G132" s="6"/>
      <c r="H132" s="4"/>
      <c r="I132" s="4"/>
      <c r="J132" s="7" t="str">
        <f aca="false">IF(B132="","",HYPERLINK("https://www.torn.com/profiles.php?XID="&amp;B132,"Profile"))</f>
        <v/>
      </c>
      <c r="K132" s="7" t="str">
        <f aca="false">IF(B132="","",HYPERLINK("https://www.torn.com/loader.php?sid=attack&amp;user2ID="&amp;B132,"Attack"))</f>
        <v/>
      </c>
      <c r="L132" s="8" t="str">
        <f aca="false">IF(B132="","",IF(COUNTIF('Mug Log'!$B$5:$B$1004,B132)=0,"",_xlfn.MAXIFS('Mug Log'!$A$5:$A$1004,'Mug Log'!$B$5:$B$1004,B132)))</f>
        <v/>
      </c>
      <c r="M132" s="9" t="str">
        <f aca="false">IF(L132="","",SUMIFS('Mug Log'!$D$5:$D$1004,'Mug Log'!$B$5:$B$1004,B132,'Mug Log'!$A$5:$A$1004,L132))</f>
        <v/>
      </c>
      <c r="N132" s="8" t="str">
        <f aca="false">IF(L132="","",L132+Settings!$B$7/24)</f>
        <v/>
      </c>
      <c r="O132" s="8" t="str">
        <f aca="false">IF(N132="","",N132+Settings!$B$6/24)</f>
        <v/>
      </c>
      <c r="P132" s="10" t="str">
        <f aca="false">IF(B132="","",IF(L132="","Never hit",IF(N132&lt;=Settings!$B$8,"READY","Cooldown")))</f>
        <v/>
      </c>
      <c r="Q132" s="11" t="str">
        <f aca="false">IF(P132="Cooldown",N132-Settings!$B$8,"")</f>
        <v/>
      </c>
      <c r="R132" s="12" t="str">
        <f aca="false">IF(B132="","",COUNTIF('Mug Log'!$B$5:$B$1004,B132))</f>
        <v/>
      </c>
      <c r="S132" s="9" t="str">
        <f aca="false">IF(B132="","",SUMIFS('Mug Log'!$D$5:$D$1004,'Mug Log'!$B$5:$B$1004,B132))</f>
        <v/>
      </c>
      <c r="T132" s="9" t="str">
        <f aca="false">IF(OR(B132="",R132=0),"",S132/R132)</f>
        <v/>
      </c>
      <c r="U132" s="4"/>
    </row>
    <row r="133" customFormat="false" ht="15" hidden="false" customHeight="false" outlineLevel="0" collapsed="false">
      <c r="A133" s="4"/>
      <c r="B133" s="5"/>
      <c r="C133" s="4"/>
      <c r="D133" s="6"/>
      <c r="E133" s="4"/>
      <c r="F133" s="4"/>
      <c r="G133" s="6"/>
      <c r="H133" s="4"/>
      <c r="I133" s="4"/>
      <c r="J133" s="7" t="str">
        <f aca="false">IF(B133="","",HYPERLINK("https://www.torn.com/profiles.php?XID="&amp;B133,"Profile"))</f>
        <v/>
      </c>
      <c r="K133" s="7" t="str">
        <f aca="false">IF(B133="","",HYPERLINK("https://www.torn.com/loader.php?sid=attack&amp;user2ID="&amp;B133,"Attack"))</f>
        <v/>
      </c>
      <c r="L133" s="8" t="str">
        <f aca="false">IF(B133="","",IF(COUNTIF('Mug Log'!$B$5:$B$1004,B133)=0,"",_xlfn.MAXIFS('Mug Log'!$A$5:$A$1004,'Mug Log'!$B$5:$B$1004,B133)))</f>
        <v/>
      </c>
      <c r="M133" s="9" t="str">
        <f aca="false">IF(L133="","",SUMIFS('Mug Log'!$D$5:$D$1004,'Mug Log'!$B$5:$B$1004,B133,'Mug Log'!$A$5:$A$1004,L133))</f>
        <v/>
      </c>
      <c r="N133" s="8" t="str">
        <f aca="false">IF(L133="","",L133+Settings!$B$7/24)</f>
        <v/>
      </c>
      <c r="O133" s="8" t="str">
        <f aca="false">IF(N133="","",N133+Settings!$B$6/24)</f>
        <v/>
      </c>
      <c r="P133" s="10" t="str">
        <f aca="false">IF(B133="","",IF(L133="","Never hit",IF(N133&lt;=Settings!$B$8,"READY","Cooldown")))</f>
        <v/>
      </c>
      <c r="Q133" s="11" t="str">
        <f aca="false">IF(P133="Cooldown",N133-Settings!$B$8,"")</f>
        <v/>
      </c>
      <c r="R133" s="12" t="str">
        <f aca="false">IF(B133="","",COUNTIF('Mug Log'!$B$5:$B$1004,B133))</f>
        <v/>
      </c>
      <c r="S133" s="9" t="str">
        <f aca="false">IF(B133="","",SUMIFS('Mug Log'!$D$5:$D$1004,'Mug Log'!$B$5:$B$1004,B133))</f>
        <v/>
      </c>
      <c r="T133" s="9" t="str">
        <f aca="false">IF(OR(B133="",R133=0),"",S133/R133)</f>
        <v/>
      </c>
      <c r="U133" s="4"/>
    </row>
    <row r="134" customFormat="false" ht="15" hidden="false" customHeight="false" outlineLevel="0" collapsed="false">
      <c r="A134" s="4"/>
      <c r="B134" s="5"/>
      <c r="C134" s="4"/>
      <c r="D134" s="6"/>
      <c r="E134" s="4"/>
      <c r="F134" s="4"/>
      <c r="G134" s="6"/>
      <c r="H134" s="4"/>
      <c r="I134" s="4"/>
      <c r="J134" s="7" t="str">
        <f aca="false">IF(B134="","",HYPERLINK("https://www.torn.com/profiles.php?XID="&amp;B134,"Profile"))</f>
        <v/>
      </c>
      <c r="K134" s="7" t="str">
        <f aca="false">IF(B134="","",HYPERLINK("https://www.torn.com/loader.php?sid=attack&amp;user2ID="&amp;B134,"Attack"))</f>
        <v/>
      </c>
      <c r="L134" s="8" t="str">
        <f aca="false">IF(B134="","",IF(COUNTIF('Mug Log'!$B$5:$B$1004,B134)=0,"",_xlfn.MAXIFS('Mug Log'!$A$5:$A$1004,'Mug Log'!$B$5:$B$1004,B134)))</f>
        <v/>
      </c>
      <c r="M134" s="9" t="str">
        <f aca="false">IF(L134="","",SUMIFS('Mug Log'!$D$5:$D$1004,'Mug Log'!$B$5:$B$1004,B134,'Mug Log'!$A$5:$A$1004,L134))</f>
        <v/>
      </c>
      <c r="N134" s="8" t="str">
        <f aca="false">IF(L134="","",L134+Settings!$B$7/24)</f>
        <v/>
      </c>
      <c r="O134" s="8" t="str">
        <f aca="false">IF(N134="","",N134+Settings!$B$6/24)</f>
        <v/>
      </c>
      <c r="P134" s="10" t="str">
        <f aca="false">IF(B134="","",IF(L134="","Never hit",IF(N134&lt;=Settings!$B$8,"READY","Cooldown")))</f>
        <v/>
      </c>
      <c r="Q134" s="11" t="str">
        <f aca="false">IF(P134="Cooldown",N134-Settings!$B$8,"")</f>
        <v/>
      </c>
      <c r="R134" s="12" t="str">
        <f aca="false">IF(B134="","",COUNTIF('Mug Log'!$B$5:$B$1004,B134))</f>
        <v/>
      </c>
      <c r="S134" s="9" t="str">
        <f aca="false">IF(B134="","",SUMIFS('Mug Log'!$D$5:$D$1004,'Mug Log'!$B$5:$B$1004,B134))</f>
        <v/>
      </c>
      <c r="T134" s="9" t="str">
        <f aca="false">IF(OR(B134="",R134=0),"",S134/R134)</f>
        <v/>
      </c>
      <c r="U134" s="4"/>
    </row>
    <row r="135" customFormat="false" ht="15" hidden="false" customHeight="false" outlineLevel="0" collapsed="false">
      <c r="A135" s="4"/>
      <c r="B135" s="5"/>
      <c r="C135" s="4"/>
      <c r="D135" s="6"/>
      <c r="E135" s="4"/>
      <c r="F135" s="4"/>
      <c r="G135" s="6"/>
      <c r="H135" s="4"/>
      <c r="I135" s="4"/>
      <c r="J135" s="7" t="str">
        <f aca="false">IF(B135="","",HYPERLINK("https://www.torn.com/profiles.php?XID="&amp;B135,"Profile"))</f>
        <v/>
      </c>
      <c r="K135" s="7" t="str">
        <f aca="false">IF(B135="","",HYPERLINK("https://www.torn.com/loader.php?sid=attack&amp;user2ID="&amp;B135,"Attack"))</f>
        <v/>
      </c>
      <c r="L135" s="8" t="str">
        <f aca="false">IF(B135="","",IF(COUNTIF('Mug Log'!$B$5:$B$1004,B135)=0,"",_xlfn.MAXIFS('Mug Log'!$A$5:$A$1004,'Mug Log'!$B$5:$B$1004,B135)))</f>
        <v/>
      </c>
      <c r="M135" s="9" t="str">
        <f aca="false">IF(L135="","",SUMIFS('Mug Log'!$D$5:$D$1004,'Mug Log'!$B$5:$B$1004,B135,'Mug Log'!$A$5:$A$1004,L135))</f>
        <v/>
      </c>
      <c r="N135" s="8" t="str">
        <f aca="false">IF(L135="","",L135+Settings!$B$7/24)</f>
        <v/>
      </c>
      <c r="O135" s="8" t="str">
        <f aca="false">IF(N135="","",N135+Settings!$B$6/24)</f>
        <v/>
      </c>
      <c r="P135" s="10" t="str">
        <f aca="false">IF(B135="","",IF(L135="","Never hit",IF(N135&lt;=Settings!$B$8,"READY","Cooldown")))</f>
        <v/>
      </c>
      <c r="Q135" s="11" t="str">
        <f aca="false">IF(P135="Cooldown",N135-Settings!$B$8,"")</f>
        <v/>
      </c>
      <c r="R135" s="12" t="str">
        <f aca="false">IF(B135="","",COUNTIF('Mug Log'!$B$5:$B$1004,B135))</f>
        <v/>
      </c>
      <c r="S135" s="9" t="str">
        <f aca="false">IF(B135="","",SUMIFS('Mug Log'!$D$5:$D$1004,'Mug Log'!$B$5:$B$1004,B135))</f>
        <v/>
      </c>
      <c r="T135" s="9" t="str">
        <f aca="false">IF(OR(B135="",R135=0),"",S135/R135)</f>
        <v/>
      </c>
      <c r="U135" s="4"/>
    </row>
    <row r="136" customFormat="false" ht="15" hidden="false" customHeight="false" outlineLevel="0" collapsed="false">
      <c r="A136" s="4"/>
      <c r="B136" s="5"/>
      <c r="C136" s="4"/>
      <c r="D136" s="6"/>
      <c r="E136" s="4"/>
      <c r="F136" s="4"/>
      <c r="G136" s="6"/>
      <c r="H136" s="4"/>
      <c r="I136" s="4"/>
      <c r="J136" s="7" t="str">
        <f aca="false">IF(B136="","",HYPERLINK("https://www.torn.com/profiles.php?XID="&amp;B136,"Profile"))</f>
        <v/>
      </c>
      <c r="K136" s="7" t="str">
        <f aca="false">IF(B136="","",HYPERLINK("https://www.torn.com/loader.php?sid=attack&amp;user2ID="&amp;B136,"Attack"))</f>
        <v/>
      </c>
      <c r="L136" s="8" t="str">
        <f aca="false">IF(B136="","",IF(COUNTIF('Mug Log'!$B$5:$B$1004,B136)=0,"",_xlfn.MAXIFS('Mug Log'!$A$5:$A$1004,'Mug Log'!$B$5:$B$1004,B136)))</f>
        <v/>
      </c>
      <c r="M136" s="9" t="str">
        <f aca="false">IF(L136="","",SUMIFS('Mug Log'!$D$5:$D$1004,'Mug Log'!$B$5:$B$1004,B136,'Mug Log'!$A$5:$A$1004,L136))</f>
        <v/>
      </c>
      <c r="N136" s="8" t="str">
        <f aca="false">IF(L136="","",L136+Settings!$B$7/24)</f>
        <v/>
      </c>
      <c r="O136" s="8" t="str">
        <f aca="false">IF(N136="","",N136+Settings!$B$6/24)</f>
        <v/>
      </c>
      <c r="P136" s="10" t="str">
        <f aca="false">IF(B136="","",IF(L136="","Never hit",IF(N136&lt;=Settings!$B$8,"READY","Cooldown")))</f>
        <v/>
      </c>
      <c r="Q136" s="11" t="str">
        <f aca="false">IF(P136="Cooldown",N136-Settings!$B$8,"")</f>
        <v/>
      </c>
      <c r="R136" s="12" t="str">
        <f aca="false">IF(B136="","",COUNTIF('Mug Log'!$B$5:$B$1004,B136))</f>
        <v/>
      </c>
      <c r="S136" s="9" t="str">
        <f aca="false">IF(B136="","",SUMIFS('Mug Log'!$D$5:$D$1004,'Mug Log'!$B$5:$B$1004,B136))</f>
        <v/>
      </c>
      <c r="T136" s="9" t="str">
        <f aca="false">IF(OR(B136="",R136=0),"",S136/R136)</f>
        <v/>
      </c>
      <c r="U136" s="4"/>
    </row>
    <row r="137" customFormat="false" ht="15" hidden="false" customHeight="false" outlineLevel="0" collapsed="false">
      <c r="A137" s="4"/>
      <c r="B137" s="5"/>
      <c r="C137" s="4"/>
      <c r="D137" s="6"/>
      <c r="E137" s="4"/>
      <c r="F137" s="4"/>
      <c r="G137" s="6"/>
      <c r="H137" s="4"/>
      <c r="I137" s="4"/>
      <c r="J137" s="7" t="str">
        <f aca="false">IF(B137="","",HYPERLINK("https://www.torn.com/profiles.php?XID="&amp;B137,"Profile"))</f>
        <v/>
      </c>
      <c r="K137" s="7" t="str">
        <f aca="false">IF(B137="","",HYPERLINK("https://www.torn.com/loader.php?sid=attack&amp;user2ID="&amp;B137,"Attack"))</f>
        <v/>
      </c>
      <c r="L137" s="8" t="str">
        <f aca="false">IF(B137="","",IF(COUNTIF('Mug Log'!$B$5:$B$1004,B137)=0,"",_xlfn.MAXIFS('Mug Log'!$A$5:$A$1004,'Mug Log'!$B$5:$B$1004,B137)))</f>
        <v/>
      </c>
      <c r="M137" s="9" t="str">
        <f aca="false">IF(L137="","",SUMIFS('Mug Log'!$D$5:$D$1004,'Mug Log'!$B$5:$B$1004,B137,'Mug Log'!$A$5:$A$1004,L137))</f>
        <v/>
      </c>
      <c r="N137" s="8" t="str">
        <f aca="false">IF(L137="","",L137+Settings!$B$7/24)</f>
        <v/>
      </c>
      <c r="O137" s="8" t="str">
        <f aca="false">IF(N137="","",N137+Settings!$B$6/24)</f>
        <v/>
      </c>
      <c r="P137" s="10" t="str">
        <f aca="false">IF(B137="","",IF(L137="","Never hit",IF(N137&lt;=Settings!$B$8,"READY","Cooldown")))</f>
        <v/>
      </c>
      <c r="Q137" s="11" t="str">
        <f aca="false">IF(P137="Cooldown",N137-Settings!$B$8,"")</f>
        <v/>
      </c>
      <c r="R137" s="12" t="str">
        <f aca="false">IF(B137="","",COUNTIF('Mug Log'!$B$5:$B$1004,B137))</f>
        <v/>
      </c>
      <c r="S137" s="9" t="str">
        <f aca="false">IF(B137="","",SUMIFS('Mug Log'!$D$5:$D$1004,'Mug Log'!$B$5:$B$1004,B137))</f>
        <v/>
      </c>
      <c r="T137" s="9" t="str">
        <f aca="false">IF(OR(B137="",R137=0),"",S137/R137)</f>
        <v/>
      </c>
      <c r="U137" s="4"/>
    </row>
    <row r="138" customFormat="false" ht="15" hidden="false" customHeight="false" outlineLevel="0" collapsed="false">
      <c r="A138" s="4"/>
      <c r="B138" s="5"/>
      <c r="C138" s="4"/>
      <c r="D138" s="6"/>
      <c r="E138" s="4"/>
      <c r="F138" s="4"/>
      <c r="G138" s="6"/>
      <c r="H138" s="4"/>
      <c r="I138" s="4"/>
      <c r="J138" s="7" t="str">
        <f aca="false">IF(B138="","",HYPERLINK("https://www.torn.com/profiles.php?XID="&amp;B138,"Profile"))</f>
        <v/>
      </c>
      <c r="K138" s="7" t="str">
        <f aca="false">IF(B138="","",HYPERLINK("https://www.torn.com/loader.php?sid=attack&amp;user2ID="&amp;B138,"Attack"))</f>
        <v/>
      </c>
      <c r="L138" s="8" t="str">
        <f aca="false">IF(B138="","",IF(COUNTIF('Mug Log'!$B$5:$B$1004,B138)=0,"",_xlfn.MAXIFS('Mug Log'!$A$5:$A$1004,'Mug Log'!$B$5:$B$1004,B138)))</f>
        <v/>
      </c>
      <c r="M138" s="9" t="str">
        <f aca="false">IF(L138="","",SUMIFS('Mug Log'!$D$5:$D$1004,'Mug Log'!$B$5:$B$1004,B138,'Mug Log'!$A$5:$A$1004,L138))</f>
        <v/>
      </c>
      <c r="N138" s="8" t="str">
        <f aca="false">IF(L138="","",L138+Settings!$B$7/24)</f>
        <v/>
      </c>
      <c r="O138" s="8" t="str">
        <f aca="false">IF(N138="","",N138+Settings!$B$6/24)</f>
        <v/>
      </c>
      <c r="P138" s="10" t="str">
        <f aca="false">IF(B138="","",IF(L138="","Never hit",IF(N138&lt;=Settings!$B$8,"READY","Cooldown")))</f>
        <v/>
      </c>
      <c r="Q138" s="11" t="str">
        <f aca="false">IF(P138="Cooldown",N138-Settings!$B$8,"")</f>
        <v/>
      </c>
      <c r="R138" s="12" t="str">
        <f aca="false">IF(B138="","",COUNTIF('Mug Log'!$B$5:$B$1004,B138))</f>
        <v/>
      </c>
      <c r="S138" s="9" t="str">
        <f aca="false">IF(B138="","",SUMIFS('Mug Log'!$D$5:$D$1004,'Mug Log'!$B$5:$B$1004,B138))</f>
        <v/>
      </c>
      <c r="T138" s="9" t="str">
        <f aca="false">IF(OR(B138="",R138=0),"",S138/R138)</f>
        <v/>
      </c>
      <c r="U138" s="4"/>
    </row>
    <row r="139" customFormat="false" ht="15" hidden="false" customHeight="false" outlineLevel="0" collapsed="false">
      <c r="A139" s="4"/>
      <c r="B139" s="5"/>
      <c r="C139" s="4"/>
      <c r="D139" s="6"/>
      <c r="E139" s="4"/>
      <c r="F139" s="4"/>
      <c r="G139" s="6"/>
      <c r="H139" s="4"/>
      <c r="I139" s="4"/>
      <c r="J139" s="7" t="str">
        <f aca="false">IF(B139="","",HYPERLINK("https://www.torn.com/profiles.php?XID="&amp;B139,"Profile"))</f>
        <v/>
      </c>
      <c r="K139" s="7" t="str">
        <f aca="false">IF(B139="","",HYPERLINK("https://www.torn.com/loader.php?sid=attack&amp;user2ID="&amp;B139,"Attack"))</f>
        <v/>
      </c>
      <c r="L139" s="8" t="str">
        <f aca="false">IF(B139="","",IF(COUNTIF('Mug Log'!$B$5:$B$1004,B139)=0,"",_xlfn.MAXIFS('Mug Log'!$A$5:$A$1004,'Mug Log'!$B$5:$B$1004,B139)))</f>
        <v/>
      </c>
      <c r="M139" s="9" t="str">
        <f aca="false">IF(L139="","",SUMIFS('Mug Log'!$D$5:$D$1004,'Mug Log'!$B$5:$B$1004,B139,'Mug Log'!$A$5:$A$1004,L139))</f>
        <v/>
      </c>
      <c r="N139" s="8" t="str">
        <f aca="false">IF(L139="","",L139+Settings!$B$7/24)</f>
        <v/>
      </c>
      <c r="O139" s="8" t="str">
        <f aca="false">IF(N139="","",N139+Settings!$B$6/24)</f>
        <v/>
      </c>
      <c r="P139" s="10" t="str">
        <f aca="false">IF(B139="","",IF(L139="","Never hit",IF(N139&lt;=Settings!$B$8,"READY","Cooldown")))</f>
        <v/>
      </c>
      <c r="Q139" s="11" t="str">
        <f aca="false">IF(P139="Cooldown",N139-Settings!$B$8,"")</f>
        <v/>
      </c>
      <c r="R139" s="12" t="str">
        <f aca="false">IF(B139="","",COUNTIF('Mug Log'!$B$5:$B$1004,B139))</f>
        <v/>
      </c>
      <c r="S139" s="9" t="str">
        <f aca="false">IF(B139="","",SUMIFS('Mug Log'!$D$5:$D$1004,'Mug Log'!$B$5:$B$1004,B139))</f>
        <v/>
      </c>
      <c r="T139" s="9" t="str">
        <f aca="false">IF(OR(B139="",R139=0),"",S139/R139)</f>
        <v/>
      </c>
      <c r="U139" s="4"/>
    </row>
    <row r="140" customFormat="false" ht="15" hidden="false" customHeight="false" outlineLevel="0" collapsed="false">
      <c r="A140" s="4"/>
      <c r="B140" s="5"/>
      <c r="C140" s="4"/>
      <c r="D140" s="6"/>
      <c r="E140" s="4"/>
      <c r="F140" s="4"/>
      <c r="G140" s="6"/>
      <c r="H140" s="4"/>
      <c r="I140" s="4"/>
      <c r="J140" s="7" t="str">
        <f aca="false">IF(B140="","",HYPERLINK("https://www.torn.com/profiles.php?XID="&amp;B140,"Profile"))</f>
        <v/>
      </c>
      <c r="K140" s="7" t="str">
        <f aca="false">IF(B140="","",HYPERLINK("https://www.torn.com/loader.php?sid=attack&amp;user2ID="&amp;B140,"Attack"))</f>
        <v/>
      </c>
      <c r="L140" s="8" t="str">
        <f aca="false">IF(B140="","",IF(COUNTIF('Mug Log'!$B$5:$B$1004,B140)=0,"",_xlfn.MAXIFS('Mug Log'!$A$5:$A$1004,'Mug Log'!$B$5:$B$1004,B140)))</f>
        <v/>
      </c>
      <c r="M140" s="9" t="str">
        <f aca="false">IF(L140="","",SUMIFS('Mug Log'!$D$5:$D$1004,'Mug Log'!$B$5:$B$1004,B140,'Mug Log'!$A$5:$A$1004,L140))</f>
        <v/>
      </c>
      <c r="N140" s="8" t="str">
        <f aca="false">IF(L140="","",L140+Settings!$B$7/24)</f>
        <v/>
      </c>
      <c r="O140" s="8" t="str">
        <f aca="false">IF(N140="","",N140+Settings!$B$6/24)</f>
        <v/>
      </c>
      <c r="P140" s="10" t="str">
        <f aca="false">IF(B140="","",IF(L140="","Never hit",IF(N140&lt;=Settings!$B$8,"READY","Cooldown")))</f>
        <v/>
      </c>
      <c r="Q140" s="11" t="str">
        <f aca="false">IF(P140="Cooldown",N140-Settings!$B$8,"")</f>
        <v/>
      </c>
      <c r="R140" s="12" t="str">
        <f aca="false">IF(B140="","",COUNTIF('Mug Log'!$B$5:$B$1004,B140))</f>
        <v/>
      </c>
      <c r="S140" s="9" t="str">
        <f aca="false">IF(B140="","",SUMIFS('Mug Log'!$D$5:$D$1004,'Mug Log'!$B$5:$B$1004,B140))</f>
        <v/>
      </c>
      <c r="T140" s="9" t="str">
        <f aca="false">IF(OR(B140="",R140=0),"",S140/R140)</f>
        <v/>
      </c>
      <c r="U140" s="4"/>
    </row>
    <row r="141" customFormat="false" ht="15" hidden="false" customHeight="false" outlineLevel="0" collapsed="false">
      <c r="A141" s="4"/>
      <c r="B141" s="5"/>
      <c r="C141" s="4"/>
      <c r="D141" s="6"/>
      <c r="E141" s="4"/>
      <c r="F141" s="4"/>
      <c r="G141" s="6"/>
      <c r="H141" s="4"/>
      <c r="I141" s="4"/>
      <c r="J141" s="7" t="str">
        <f aca="false">IF(B141="","",HYPERLINK("https://www.torn.com/profiles.php?XID="&amp;B141,"Profile"))</f>
        <v/>
      </c>
      <c r="K141" s="7" t="str">
        <f aca="false">IF(B141="","",HYPERLINK("https://www.torn.com/loader.php?sid=attack&amp;user2ID="&amp;B141,"Attack"))</f>
        <v/>
      </c>
      <c r="L141" s="8" t="str">
        <f aca="false">IF(B141="","",IF(COUNTIF('Mug Log'!$B$5:$B$1004,B141)=0,"",_xlfn.MAXIFS('Mug Log'!$A$5:$A$1004,'Mug Log'!$B$5:$B$1004,B141)))</f>
        <v/>
      </c>
      <c r="M141" s="9" t="str">
        <f aca="false">IF(L141="","",SUMIFS('Mug Log'!$D$5:$D$1004,'Mug Log'!$B$5:$B$1004,B141,'Mug Log'!$A$5:$A$1004,L141))</f>
        <v/>
      </c>
      <c r="N141" s="8" t="str">
        <f aca="false">IF(L141="","",L141+Settings!$B$7/24)</f>
        <v/>
      </c>
      <c r="O141" s="8" t="str">
        <f aca="false">IF(N141="","",N141+Settings!$B$6/24)</f>
        <v/>
      </c>
      <c r="P141" s="10" t="str">
        <f aca="false">IF(B141="","",IF(L141="","Never hit",IF(N141&lt;=Settings!$B$8,"READY","Cooldown")))</f>
        <v/>
      </c>
      <c r="Q141" s="11" t="str">
        <f aca="false">IF(P141="Cooldown",N141-Settings!$B$8,"")</f>
        <v/>
      </c>
      <c r="R141" s="12" t="str">
        <f aca="false">IF(B141="","",COUNTIF('Mug Log'!$B$5:$B$1004,B141))</f>
        <v/>
      </c>
      <c r="S141" s="9" t="str">
        <f aca="false">IF(B141="","",SUMIFS('Mug Log'!$D$5:$D$1004,'Mug Log'!$B$5:$B$1004,B141))</f>
        <v/>
      </c>
      <c r="T141" s="9" t="str">
        <f aca="false">IF(OR(B141="",R141=0),"",S141/R141)</f>
        <v/>
      </c>
      <c r="U141" s="4"/>
    </row>
    <row r="142" customFormat="false" ht="15" hidden="false" customHeight="false" outlineLevel="0" collapsed="false">
      <c r="A142" s="4"/>
      <c r="B142" s="5"/>
      <c r="C142" s="4"/>
      <c r="D142" s="6"/>
      <c r="E142" s="4"/>
      <c r="F142" s="4"/>
      <c r="G142" s="6"/>
      <c r="H142" s="4"/>
      <c r="I142" s="4"/>
      <c r="J142" s="7" t="str">
        <f aca="false">IF(B142="","",HYPERLINK("https://www.torn.com/profiles.php?XID="&amp;B142,"Profile"))</f>
        <v/>
      </c>
      <c r="K142" s="7" t="str">
        <f aca="false">IF(B142="","",HYPERLINK("https://www.torn.com/loader.php?sid=attack&amp;user2ID="&amp;B142,"Attack"))</f>
        <v/>
      </c>
      <c r="L142" s="8" t="str">
        <f aca="false">IF(B142="","",IF(COUNTIF('Mug Log'!$B$5:$B$1004,B142)=0,"",_xlfn.MAXIFS('Mug Log'!$A$5:$A$1004,'Mug Log'!$B$5:$B$1004,B142)))</f>
        <v/>
      </c>
      <c r="M142" s="9" t="str">
        <f aca="false">IF(L142="","",SUMIFS('Mug Log'!$D$5:$D$1004,'Mug Log'!$B$5:$B$1004,B142,'Mug Log'!$A$5:$A$1004,L142))</f>
        <v/>
      </c>
      <c r="N142" s="8" t="str">
        <f aca="false">IF(L142="","",L142+Settings!$B$7/24)</f>
        <v/>
      </c>
      <c r="O142" s="8" t="str">
        <f aca="false">IF(N142="","",N142+Settings!$B$6/24)</f>
        <v/>
      </c>
      <c r="P142" s="10" t="str">
        <f aca="false">IF(B142="","",IF(L142="","Never hit",IF(N142&lt;=Settings!$B$8,"READY","Cooldown")))</f>
        <v/>
      </c>
      <c r="Q142" s="11" t="str">
        <f aca="false">IF(P142="Cooldown",N142-Settings!$B$8,"")</f>
        <v/>
      </c>
      <c r="R142" s="12" t="str">
        <f aca="false">IF(B142="","",COUNTIF('Mug Log'!$B$5:$B$1004,B142))</f>
        <v/>
      </c>
      <c r="S142" s="9" t="str">
        <f aca="false">IF(B142="","",SUMIFS('Mug Log'!$D$5:$D$1004,'Mug Log'!$B$5:$B$1004,B142))</f>
        <v/>
      </c>
      <c r="T142" s="9" t="str">
        <f aca="false">IF(OR(B142="",R142=0),"",S142/R142)</f>
        <v/>
      </c>
      <c r="U142" s="4"/>
    </row>
    <row r="143" customFormat="false" ht="15" hidden="false" customHeight="false" outlineLevel="0" collapsed="false">
      <c r="A143" s="4"/>
      <c r="B143" s="5"/>
      <c r="C143" s="4"/>
      <c r="D143" s="6"/>
      <c r="E143" s="4"/>
      <c r="F143" s="4"/>
      <c r="G143" s="6"/>
      <c r="H143" s="4"/>
      <c r="I143" s="4"/>
      <c r="J143" s="7" t="str">
        <f aca="false">IF(B143="","",HYPERLINK("https://www.torn.com/profiles.php?XID="&amp;B143,"Profile"))</f>
        <v/>
      </c>
      <c r="K143" s="7" t="str">
        <f aca="false">IF(B143="","",HYPERLINK("https://www.torn.com/loader.php?sid=attack&amp;user2ID="&amp;B143,"Attack"))</f>
        <v/>
      </c>
      <c r="L143" s="8" t="str">
        <f aca="false">IF(B143="","",IF(COUNTIF('Mug Log'!$B$5:$B$1004,B143)=0,"",_xlfn.MAXIFS('Mug Log'!$A$5:$A$1004,'Mug Log'!$B$5:$B$1004,B143)))</f>
        <v/>
      </c>
      <c r="M143" s="9" t="str">
        <f aca="false">IF(L143="","",SUMIFS('Mug Log'!$D$5:$D$1004,'Mug Log'!$B$5:$B$1004,B143,'Mug Log'!$A$5:$A$1004,L143))</f>
        <v/>
      </c>
      <c r="N143" s="8" t="str">
        <f aca="false">IF(L143="","",L143+Settings!$B$7/24)</f>
        <v/>
      </c>
      <c r="O143" s="8" t="str">
        <f aca="false">IF(N143="","",N143+Settings!$B$6/24)</f>
        <v/>
      </c>
      <c r="P143" s="10" t="str">
        <f aca="false">IF(B143="","",IF(L143="","Never hit",IF(N143&lt;=Settings!$B$8,"READY","Cooldown")))</f>
        <v/>
      </c>
      <c r="Q143" s="11" t="str">
        <f aca="false">IF(P143="Cooldown",N143-Settings!$B$8,"")</f>
        <v/>
      </c>
      <c r="R143" s="12" t="str">
        <f aca="false">IF(B143="","",COUNTIF('Mug Log'!$B$5:$B$1004,B143))</f>
        <v/>
      </c>
      <c r="S143" s="9" t="str">
        <f aca="false">IF(B143="","",SUMIFS('Mug Log'!$D$5:$D$1004,'Mug Log'!$B$5:$B$1004,B143))</f>
        <v/>
      </c>
      <c r="T143" s="9" t="str">
        <f aca="false">IF(OR(B143="",R143=0),"",S143/R143)</f>
        <v/>
      </c>
      <c r="U143" s="4"/>
    </row>
    <row r="144" customFormat="false" ht="15" hidden="false" customHeight="false" outlineLevel="0" collapsed="false">
      <c r="A144" s="4"/>
      <c r="B144" s="5"/>
      <c r="C144" s="4"/>
      <c r="D144" s="6"/>
      <c r="E144" s="4"/>
      <c r="F144" s="4"/>
      <c r="G144" s="6"/>
      <c r="H144" s="4"/>
      <c r="I144" s="4"/>
      <c r="J144" s="7" t="str">
        <f aca="false">IF(B144="","",HYPERLINK("https://www.torn.com/profiles.php?XID="&amp;B144,"Profile"))</f>
        <v/>
      </c>
      <c r="K144" s="7" t="str">
        <f aca="false">IF(B144="","",HYPERLINK("https://www.torn.com/loader.php?sid=attack&amp;user2ID="&amp;B144,"Attack"))</f>
        <v/>
      </c>
      <c r="L144" s="8" t="str">
        <f aca="false">IF(B144="","",IF(COUNTIF('Mug Log'!$B$5:$B$1004,B144)=0,"",_xlfn.MAXIFS('Mug Log'!$A$5:$A$1004,'Mug Log'!$B$5:$B$1004,B144)))</f>
        <v/>
      </c>
      <c r="M144" s="9" t="str">
        <f aca="false">IF(L144="","",SUMIFS('Mug Log'!$D$5:$D$1004,'Mug Log'!$B$5:$B$1004,B144,'Mug Log'!$A$5:$A$1004,L144))</f>
        <v/>
      </c>
      <c r="N144" s="8" t="str">
        <f aca="false">IF(L144="","",L144+Settings!$B$7/24)</f>
        <v/>
      </c>
      <c r="O144" s="8" t="str">
        <f aca="false">IF(N144="","",N144+Settings!$B$6/24)</f>
        <v/>
      </c>
      <c r="P144" s="10" t="str">
        <f aca="false">IF(B144="","",IF(L144="","Never hit",IF(N144&lt;=Settings!$B$8,"READY","Cooldown")))</f>
        <v/>
      </c>
      <c r="Q144" s="11" t="str">
        <f aca="false">IF(P144="Cooldown",N144-Settings!$B$8,"")</f>
        <v/>
      </c>
      <c r="R144" s="12" t="str">
        <f aca="false">IF(B144="","",COUNTIF('Mug Log'!$B$5:$B$1004,B144))</f>
        <v/>
      </c>
      <c r="S144" s="9" t="str">
        <f aca="false">IF(B144="","",SUMIFS('Mug Log'!$D$5:$D$1004,'Mug Log'!$B$5:$B$1004,B144))</f>
        <v/>
      </c>
      <c r="T144" s="9" t="str">
        <f aca="false">IF(OR(B144="",R144=0),"",S144/R144)</f>
        <v/>
      </c>
      <c r="U144" s="4"/>
    </row>
    <row r="145" customFormat="false" ht="15" hidden="false" customHeight="false" outlineLevel="0" collapsed="false">
      <c r="A145" s="4"/>
      <c r="B145" s="5"/>
      <c r="C145" s="4"/>
      <c r="D145" s="6"/>
      <c r="E145" s="4"/>
      <c r="F145" s="4"/>
      <c r="G145" s="6"/>
      <c r="H145" s="4"/>
      <c r="I145" s="4"/>
      <c r="J145" s="7" t="str">
        <f aca="false">IF(B145="","",HYPERLINK("https://www.torn.com/profiles.php?XID="&amp;B145,"Profile"))</f>
        <v/>
      </c>
      <c r="K145" s="7" t="str">
        <f aca="false">IF(B145="","",HYPERLINK("https://www.torn.com/loader.php?sid=attack&amp;user2ID="&amp;B145,"Attack"))</f>
        <v/>
      </c>
      <c r="L145" s="8" t="str">
        <f aca="false">IF(B145="","",IF(COUNTIF('Mug Log'!$B$5:$B$1004,B145)=0,"",_xlfn.MAXIFS('Mug Log'!$A$5:$A$1004,'Mug Log'!$B$5:$B$1004,B145)))</f>
        <v/>
      </c>
      <c r="M145" s="9" t="str">
        <f aca="false">IF(L145="","",SUMIFS('Mug Log'!$D$5:$D$1004,'Mug Log'!$B$5:$B$1004,B145,'Mug Log'!$A$5:$A$1004,L145))</f>
        <v/>
      </c>
      <c r="N145" s="8" t="str">
        <f aca="false">IF(L145="","",L145+Settings!$B$7/24)</f>
        <v/>
      </c>
      <c r="O145" s="8" t="str">
        <f aca="false">IF(N145="","",N145+Settings!$B$6/24)</f>
        <v/>
      </c>
      <c r="P145" s="10" t="str">
        <f aca="false">IF(B145="","",IF(L145="","Never hit",IF(N145&lt;=Settings!$B$8,"READY","Cooldown")))</f>
        <v/>
      </c>
      <c r="Q145" s="11" t="str">
        <f aca="false">IF(P145="Cooldown",N145-Settings!$B$8,"")</f>
        <v/>
      </c>
      <c r="R145" s="12" t="str">
        <f aca="false">IF(B145="","",COUNTIF('Mug Log'!$B$5:$B$1004,B145))</f>
        <v/>
      </c>
      <c r="S145" s="9" t="str">
        <f aca="false">IF(B145="","",SUMIFS('Mug Log'!$D$5:$D$1004,'Mug Log'!$B$5:$B$1004,B145))</f>
        <v/>
      </c>
      <c r="T145" s="9" t="str">
        <f aca="false">IF(OR(B145="",R145=0),"",S145/R145)</f>
        <v/>
      </c>
      <c r="U145" s="4"/>
    </row>
    <row r="146" customFormat="false" ht="15" hidden="false" customHeight="false" outlineLevel="0" collapsed="false">
      <c r="A146" s="4"/>
      <c r="B146" s="5"/>
      <c r="C146" s="4"/>
      <c r="D146" s="6"/>
      <c r="E146" s="4"/>
      <c r="F146" s="4"/>
      <c r="G146" s="6"/>
      <c r="H146" s="4"/>
      <c r="I146" s="4"/>
      <c r="J146" s="7" t="str">
        <f aca="false">IF(B146="","",HYPERLINK("https://www.torn.com/profiles.php?XID="&amp;B146,"Profile"))</f>
        <v/>
      </c>
      <c r="K146" s="7" t="str">
        <f aca="false">IF(B146="","",HYPERLINK("https://www.torn.com/loader.php?sid=attack&amp;user2ID="&amp;B146,"Attack"))</f>
        <v/>
      </c>
      <c r="L146" s="8" t="str">
        <f aca="false">IF(B146="","",IF(COUNTIF('Mug Log'!$B$5:$B$1004,B146)=0,"",_xlfn.MAXIFS('Mug Log'!$A$5:$A$1004,'Mug Log'!$B$5:$B$1004,B146)))</f>
        <v/>
      </c>
      <c r="M146" s="9" t="str">
        <f aca="false">IF(L146="","",SUMIFS('Mug Log'!$D$5:$D$1004,'Mug Log'!$B$5:$B$1004,B146,'Mug Log'!$A$5:$A$1004,L146))</f>
        <v/>
      </c>
      <c r="N146" s="8" t="str">
        <f aca="false">IF(L146="","",L146+Settings!$B$7/24)</f>
        <v/>
      </c>
      <c r="O146" s="8" t="str">
        <f aca="false">IF(N146="","",N146+Settings!$B$6/24)</f>
        <v/>
      </c>
      <c r="P146" s="10" t="str">
        <f aca="false">IF(B146="","",IF(L146="","Never hit",IF(N146&lt;=Settings!$B$8,"READY","Cooldown")))</f>
        <v/>
      </c>
      <c r="Q146" s="11" t="str">
        <f aca="false">IF(P146="Cooldown",N146-Settings!$B$8,"")</f>
        <v/>
      </c>
      <c r="R146" s="12" t="str">
        <f aca="false">IF(B146="","",COUNTIF('Mug Log'!$B$5:$B$1004,B146))</f>
        <v/>
      </c>
      <c r="S146" s="9" t="str">
        <f aca="false">IF(B146="","",SUMIFS('Mug Log'!$D$5:$D$1004,'Mug Log'!$B$5:$B$1004,B146))</f>
        <v/>
      </c>
      <c r="T146" s="9" t="str">
        <f aca="false">IF(OR(B146="",R146=0),"",S146/R146)</f>
        <v/>
      </c>
      <c r="U146" s="4"/>
    </row>
    <row r="147" customFormat="false" ht="15" hidden="false" customHeight="false" outlineLevel="0" collapsed="false">
      <c r="A147" s="4"/>
      <c r="B147" s="5"/>
      <c r="C147" s="4"/>
      <c r="D147" s="6"/>
      <c r="E147" s="4"/>
      <c r="F147" s="4"/>
      <c r="G147" s="6"/>
      <c r="H147" s="4"/>
      <c r="I147" s="4"/>
      <c r="J147" s="7" t="str">
        <f aca="false">IF(B147="","",HYPERLINK("https://www.torn.com/profiles.php?XID="&amp;B147,"Profile"))</f>
        <v/>
      </c>
      <c r="K147" s="7" t="str">
        <f aca="false">IF(B147="","",HYPERLINK("https://www.torn.com/loader.php?sid=attack&amp;user2ID="&amp;B147,"Attack"))</f>
        <v/>
      </c>
      <c r="L147" s="8" t="str">
        <f aca="false">IF(B147="","",IF(COUNTIF('Mug Log'!$B$5:$B$1004,B147)=0,"",_xlfn.MAXIFS('Mug Log'!$A$5:$A$1004,'Mug Log'!$B$5:$B$1004,B147)))</f>
        <v/>
      </c>
      <c r="M147" s="9" t="str">
        <f aca="false">IF(L147="","",SUMIFS('Mug Log'!$D$5:$D$1004,'Mug Log'!$B$5:$B$1004,B147,'Mug Log'!$A$5:$A$1004,L147))</f>
        <v/>
      </c>
      <c r="N147" s="8" t="str">
        <f aca="false">IF(L147="","",L147+Settings!$B$7/24)</f>
        <v/>
      </c>
      <c r="O147" s="8" t="str">
        <f aca="false">IF(N147="","",N147+Settings!$B$6/24)</f>
        <v/>
      </c>
      <c r="P147" s="10" t="str">
        <f aca="false">IF(B147="","",IF(L147="","Never hit",IF(N147&lt;=Settings!$B$8,"READY","Cooldown")))</f>
        <v/>
      </c>
      <c r="Q147" s="11" t="str">
        <f aca="false">IF(P147="Cooldown",N147-Settings!$B$8,"")</f>
        <v/>
      </c>
      <c r="R147" s="12" t="str">
        <f aca="false">IF(B147="","",COUNTIF('Mug Log'!$B$5:$B$1004,B147))</f>
        <v/>
      </c>
      <c r="S147" s="9" t="str">
        <f aca="false">IF(B147="","",SUMIFS('Mug Log'!$D$5:$D$1004,'Mug Log'!$B$5:$B$1004,B147))</f>
        <v/>
      </c>
      <c r="T147" s="9" t="str">
        <f aca="false">IF(OR(B147="",R147=0),"",S147/R147)</f>
        <v/>
      </c>
      <c r="U147" s="4"/>
    </row>
    <row r="148" customFormat="false" ht="15" hidden="false" customHeight="false" outlineLevel="0" collapsed="false">
      <c r="A148" s="4"/>
      <c r="B148" s="5"/>
      <c r="C148" s="4"/>
      <c r="D148" s="6"/>
      <c r="E148" s="4"/>
      <c r="F148" s="4"/>
      <c r="G148" s="6"/>
      <c r="H148" s="4"/>
      <c r="I148" s="4"/>
      <c r="J148" s="7" t="str">
        <f aca="false">IF(B148="","",HYPERLINK("https://www.torn.com/profiles.php?XID="&amp;B148,"Profile"))</f>
        <v/>
      </c>
      <c r="K148" s="7" t="str">
        <f aca="false">IF(B148="","",HYPERLINK("https://www.torn.com/loader.php?sid=attack&amp;user2ID="&amp;B148,"Attack"))</f>
        <v/>
      </c>
      <c r="L148" s="8" t="str">
        <f aca="false">IF(B148="","",IF(COUNTIF('Mug Log'!$B$5:$B$1004,B148)=0,"",_xlfn.MAXIFS('Mug Log'!$A$5:$A$1004,'Mug Log'!$B$5:$B$1004,B148)))</f>
        <v/>
      </c>
      <c r="M148" s="9" t="str">
        <f aca="false">IF(L148="","",SUMIFS('Mug Log'!$D$5:$D$1004,'Mug Log'!$B$5:$B$1004,B148,'Mug Log'!$A$5:$A$1004,L148))</f>
        <v/>
      </c>
      <c r="N148" s="8" t="str">
        <f aca="false">IF(L148="","",L148+Settings!$B$7/24)</f>
        <v/>
      </c>
      <c r="O148" s="8" t="str">
        <f aca="false">IF(N148="","",N148+Settings!$B$6/24)</f>
        <v/>
      </c>
      <c r="P148" s="10" t="str">
        <f aca="false">IF(B148="","",IF(L148="","Never hit",IF(N148&lt;=Settings!$B$8,"READY","Cooldown")))</f>
        <v/>
      </c>
      <c r="Q148" s="11" t="str">
        <f aca="false">IF(P148="Cooldown",N148-Settings!$B$8,"")</f>
        <v/>
      </c>
      <c r="R148" s="12" t="str">
        <f aca="false">IF(B148="","",COUNTIF('Mug Log'!$B$5:$B$1004,B148))</f>
        <v/>
      </c>
      <c r="S148" s="9" t="str">
        <f aca="false">IF(B148="","",SUMIFS('Mug Log'!$D$5:$D$1004,'Mug Log'!$B$5:$B$1004,B148))</f>
        <v/>
      </c>
      <c r="T148" s="9" t="str">
        <f aca="false">IF(OR(B148="",R148=0),"",S148/R148)</f>
        <v/>
      </c>
      <c r="U148" s="4"/>
    </row>
    <row r="149" customFormat="false" ht="15" hidden="false" customHeight="false" outlineLevel="0" collapsed="false">
      <c r="A149" s="4"/>
      <c r="B149" s="5"/>
      <c r="C149" s="4"/>
      <c r="D149" s="6"/>
      <c r="E149" s="4"/>
      <c r="F149" s="4"/>
      <c r="G149" s="6"/>
      <c r="H149" s="4"/>
      <c r="I149" s="4"/>
      <c r="J149" s="7" t="str">
        <f aca="false">IF(B149="","",HYPERLINK("https://www.torn.com/profiles.php?XID="&amp;B149,"Profile"))</f>
        <v/>
      </c>
      <c r="K149" s="7" t="str">
        <f aca="false">IF(B149="","",HYPERLINK("https://www.torn.com/loader.php?sid=attack&amp;user2ID="&amp;B149,"Attack"))</f>
        <v/>
      </c>
      <c r="L149" s="8" t="str">
        <f aca="false">IF(B149="","",IF(COUNTIF('Mug Log'!$B$5:$B$1004,B149)=0,"",_xlfn.MAXIFS('Mug Log'!$A$5:$A$1004,'Mug Log'!$B$5:$B$1004,B149)))</f>
        <v/>
      </c>
      <c r="M149" s="9" t="str">
        <f aca="false">IF(L149="","",SUMIFS('Mug Log'!$D$5:$D$1004,'Mug Log'!$B$5:$B$1004,B149,'Mug Log'!$A$5:$A$1004,L149))</f>
        <v/>
      </c>
      <c r="N149" s="8" t="str">
        <f aca="false">IF(L149="","",L149+Settings!$B$7/24)</f>
        <v/>
      </c>
      <c r="O149" s="8" t="str">
        <f aca="false">IF(N149="","",N149+Settings!$B$6/24)</f>
        <v/>
      </c>
      <c r="P149" s="10" t="str">
        <f aca="false">IF(B149="","",IF(L149="","Never hit",IF(N149&lt;=Settings!$B$8,"READY","Cooldown")))</f>
        <v/>
      </c>
      <c r="Q149" s="11" t="str">
        <f aca="false">IF(P149="Cooldown",N149-Settings!$B$8,"")</f>
        <v/>
      </c>
      <c r="R149" s="12" t="str">
        <f aca="false">IF(B149="","",COUNTIF('Mug Log'!$B$5:$B$1004,B149))</f>
        <v/>
      </c>
      <c r="S149" s="9" t="str">
        <f aca="false">IF(B149="","",SUMIFS('Mug Log'!$D$5:$D$1004,'Mug Log'!$B$5:$B$1004,B149))</f>
        <v/>
      </c>
      <c r="T149" s="9" t="str">
        <f aca="false">IF(OR(B149="",R149=0),"",S149/R149)</f>
        <v/>
      </c>
      <c r="U149" s="4"/>
    </row>
    <row r="150" customFormat="false" ht="15" hidden="false" customHeight="false" outlineLevel="0" collapsed="false">
      <c r="A150" s="4"/>
      <c r="B150" s="5"/>
      <c r="C150" s="4"/>
      <c r="D150" s="6"/>
      <c r="E150" s="4"/>
      <c r="F150" s="4"/>
      <c r="G150" s="6"/>
      <c r="H150" s="4"/>
      <c r="I150" s="4"/>
      <c r="J150" s="7" t="str">
        <f aca="false">IF(B150="","",HYPERLINK("https://www.torn.com/profiles.php?XID="&amp;B150,"Profile"))</f>
        <v/>
      </c>
      <c r="K150" s="7" t="str">
        <f aca="false">IF(B150="","",HYPERLINK("https://www.torn.com/loader.php?sid=attack&amp;user2ID="&amp;B150,"Attack"))</f>
        <v/>
      </c>
      <c r="L150" s="8" t="str">
        <f aca="false">IF(B150="","",IF(COUNTIF('Mug Log'!$B$5:$B$1004,B150)=0,"",_xlfn.MAXIFS('Mug Log'!$A$5:$A$1004,'Mug Log'!$B$5:$B$1004,B150)))</f>
        <v/>
      </c>
      <c r="M150" s="9" t="str">
        <f aca="false">IF(L150="","",SUMIFS('Mug Log'!$D$5:$D$1004,'Mug Log'!$B$5:$B$1004,B150,'Mug Log'!$A$5:$A$1004,L150))</f>
        <v/>
      </c>
      <c r="N150" s="8" t="str">
        <f aca="false">IF(L150="","",L150+Settings!$B$7/24)</f>
        <v/>
      </c>
      <c r="O150" s="8" t="str">
        <f aca="false">IF(N150="","",N150+Settings!$B$6/24)</f>
        <v/>
      </c>
      <c r="P150" s="10" t="str">
        <f aca="false">IF(B150="","",IF(L150="","Never hit",IF(N150&lt;=Settings!$B$8,"READY","Cooldown")))</f>
        <v/>
      </c>
      <c r="Q150" s="11" t="str">
        <f aca="false">IF(P150="Cooldown",N150-Settings!$B$8,"")</f>
        <v/>
      </c>
      <c r="R150" s="12" t="str">
        <f aca="false">IF(B150="","",COUNTIF('Mug Log'!$B$5:$B$1004,B150))</f>
        <v/>
      </c>
      <c r="S150" s="9" t="str">
        <f aca="false">IF(B150="","",SUMIFS('Mug Log'!$D$5:$D$1004,'Mug Log'!$B$5:$B$1004,B150))</f>
        <v/>
      </c>
      <c r="T150" s="9" t="str">
        <f aca="false">IF(OR(B150="",R150=0),"",S150/R150)</f>
        <v/>
      </c>
      <c r="U150" s="4"/>
    </row>
    <row r="151" customFormat="false" ht="15" hidden="false" customHeight="false" outlineLevel="0" collapsed="false">
      <c r="A151" s="4"/>
      <c r="B151" s="5"/>
      <c r="C151" s="4"/>
      <c r="D151" s="6"/>
      <c r="E151" s="4"/>
      <c r="F151" s="4"/>
      <c r="G151" s="6"/>
      <c r="H151" s="4"/>
      <c r="I151" s="4"/>
      <c r="J151" s="7" t="str">
        <f aca="false">IF(B151="","",HYPERLINK("https://www.torn.com/profiles.php?XID="&amp;B151,"Profile"))</f>
        <v/>
      </c>
      <c r="K151" s="7" t="str">
        <f aca="false">IF(B151="","",HYPERLINK("https://www.torn.com/loader.php?sid=attack&amp;user2ID="&amp;B151,"Attack"))</f>
        <v/>
      </c>
      <c r="L151" s="8" t="str">
        <f aca="false">IF(B151="","",IF(COUNTIF('Mug Log'!$B$5:$B$1004,B151)=0,"",_xlfn.MAXIFS('Mug Log'!$A$5:$A$1004,'Mug Log'!$B$5:$B$1004,B151)))</f>
        <v/>
      </c>
      <c r="M151" s="9" t="str">
        <f aca="false">IF(L151="","",SUMIFS('Mug Log'!$D$5:$D$1004,'Mug Log'!$B$5:$B$1004,B151,'Mug Log'!$A$5:$A$1004,L151))</f>
        <v/>
      </c>
      <c r="N151" s="8" t="str">
        <f aca="false">IF(L151="","",L151+Settings!$B$7/24)</f>
        <v/>
      </c>
      <c r="O151" s="8" t="str">
        <f aca="false">IF(N151="","",N151+Settings!$B$6/24)</f>
        <v/>
      </c>
      <c r="P151" s="10" t="str">
        <f aca="false">IF(B151="","",IF(L151="","Never hit",IF(N151&lt;=Settings!$B$8,"READY","Cooldown")))</f>
        <v/>
      </c>
      <c r="Q151" s="11" t="str">
        <f aca="false">IF(P151="Cooldown",N151-Settings!$B$8,"")</f>
        <v/>
      </c>
      <c r="R151" s="12" t="str">
        <f aca="false">IF(B151="","",COUNTIF('Mug Log'!$B$5:$B$1004,B151))</f>
        <v/>
      </c>
      <c r="S151" s="9" t="str">
        <f aca="false">IF(B151="","",SUMIFS('Mug Log'!$D$5:$D$1004,'Mug Log'!$B$5:$B$1004,B151))</f>
        <v/>
      </c>
      <c r="T151" s="9" t="str">
        <f aca="false">IF(OR(B151="",R151=0),"",S151/R151)</f>
        <v/>
      </c>
      <c r="U151" s="4"/>
    </row>
    <row r="152" customFormat="false" ht="15" hidden="false" customHeight="false" outlineLevel="0" collapsed="false">
      <c r="A152" s="4"/>
      <c r="B152" s="5"/>
      <c r="C152" s="4"/>
      <c r="D152" s="6"/>
      <c r="E152" s="4"/>
      <c r="F152" s="4"/>
      <c r="G152" s="6"/>
      <c r="H152" s="4"/>
      <c r="I152" s="4"/>
      <c r="J152" s="7" t="str">
        <f aca="false">IF(B152="","",HYPERLINK("https://www.torn.com/profiles.php?XID="&amp;B152,"Profile"))</f>
        <v/>
      </c>
      <c r="K152" s="7" t="str">
        <f aca="false">IF(B152="","",HYPERLINK("https://www.torn.com/loader.php?sid=attack&amp;user2ID="&amp;B152,"Attack"))</f>
        <v/>
      </c>
      <c r="L152" s="8" t="str">
        <f aca="false">IF(B152="","",IF(COUNTIF('Mug Log'!$B$5:$B$1004,B152)=0,"",_xlfn.MAXIFS('Mug Log'!$A$5:$A$1004,'Mug Log'!$B$5:$B$1004,B152)))</f>
        <v/>
      </c>
      <c r="M152" s="9" t="str">
        <f aca="false">IF(L152="","",SUMIFS('Mug Log'!$D$5:$D$1004,'Mug Log'!$B$5:$B$1004,B152,'Mug Log'!$A$5:$A$1004,L152))</f>
        <v/>
      </c>
      <c r="N152" s="8" t="str">
        <f aca="false">IF(L152="","",L152+Settings!$B$7/24)</f>
        <v/>
      </c>
      <c r="O152" s="8" t="str">
        <f aca="false">IF(N152="","",N152+Settings!$B$6/24)</f>
        <v/>
      </c>
      <c r="P152" s="10" t="str">
        <f aca="false">IF(B152="","",IF(L152="","Never hit",IF(N152&lt;=Settings!$B$8,"READY","Cooldown")))</f>
        <v/>
      </c>
      <c r="Q152" s="11" t="str">
        <f aca="false">IF(P152="Cooldown",N152-Settings!$B$8,"")</f>
        <v/>
      </c>
      <c r="R152" s="12" t="str">
        <f aca="false">IF(B152="","",COUNTIF('Mug Log'!$B$5:$B$1004,B152))</f>
        <v/>
      </c>
      <c r="S152" s="9" t="str">
        <f aca="false">IF(B152="","",SUMIFS('Mug Log'!$D$5:$D$1004,'Mug Log'!$B$5:$B$1004,B152))</f>
        <v/>
      </c>
      <c r="T152" s="9" t="str">
        <f aca="false">IF(OR(B152="",R152=0),"",S152/R152)</f>
        <v/>
      </c>
      <c r="U152" s="4"/>
    </row>
    <row r="153" customFormat="false" ht="15" hidden="false" customHeight="false" outlineLevel="0" collapsed="false">
      <c r="A153" s="4"/>
      <c r="B153" s="5"/>
      <c r="C153" s="4"/>
      <c r="D153" s="6"/>
      <c r="E153" s="4"/>
      <c r="F153" s="4"/>
      <c r="G153" s="6"/>
      <c r="H153" s="4"/>
      <c r="I153" s="4"/>
      <c r="J153" s="7" t="str">
        <f aca="false">IF(B153="","",HYPERLINK("https://www.torn.com/profiles.php?XID="&amp;B153,"Profile"))</f>
        <v/>
      </c>
      <c r="K153" s="7" t="str">
        <f aca="false">IF(B153="","",HYPERLINK("https://www.torn.com/loader.php?sid=attack&amp;user2ID="&amp;B153,"Attack"))</f>
        <v/>
      </c>
      <c r="L153" s="8" t="str">
        <f aca="false">IF(B153="","",IF(COUNTIF('Mug Log'!$B$5:$B$1004,B153)=0,"",_xlfn.MAXIFS('Mug Log'!$A$5:$A$1004,'Mug Log'!$B$5:$B$1004,B153)))</f>
        <v/>
      </c>
      <c r="M153" s="9" t="str">
        <f aca="false">IF(L153="","",SUMIFS('Mug Log'!$D$5:$D$1004,'Mug Log'!$B$5:$B$1004,B153,'Mug Log'!$A$5:$A$1004,L153))</f>
        <v/>
      </c>
      <c r="N153" s="8" t="str">
        <f aca="false">IF(L153="","",L153+Settings!$B$7/24)</f>
        <v/>
      </c>
      <c r="O153" s="8" t="str">
        <f aca="false">IF(N153="","",N153+Settings!$B$6/24)</f>
        <v/>
      </c>
      <c r="P153" s="10" t="str">
        <f aca="false">IF(B153="","",IF(L153="","Never hit",IF(N153&lt;=Settings!$B$8,"READY","Cooldown")))</f>
        <v/>
      </c>
      <c r="Q153" s="11" t="str">
        <f aca="false">IF(P153="Cooldown",N153-Settings!$B$8,"")</f>
        <v/>
      </c>
      <c r="R153" s="12" t="str">
        <f aca="false">IF(B153="","",COUNTIF('Mug Log'!$B$5:$B$1004,B153))</f>
        <v/>
      </c>
      <c r="S153" s="9" t="str">
        <f aca="false">IF(B153="","",SUMIFS('Mug Log'!$D$5:$D$1004,'Mug Log'!$B$5:$B$1004,B153))</f>
        <v/>
      </c>
      <c r="T153" s="9" t="str">
        <f aca="false">IF(OR(B153="",R153=0),"",S153/R153)</f>
        <v/>
      </c>
      <c r="U153" s="4"/>
    </row>
    <row r="154" customFormat="false" ht="15" hidden="false" customHeight="false" outlineLevel="0" collapsed="false">
      <c r="A154" s="4"/>
      <c r="B154" s="5"/>
      <c r="C154" s="4"/>
      <c r="D154" s="6"/>
      <c r="E154" s="4"/>
      <c r="F154" s="4"/>
      <c r="G154" s="6"/>
      <c r="H154" s="4"/>
      <c r="I154" s="4"/>
      <c r="J154" s="7" t="str">
        <f aca="false">IF(B154="","",HYPERLINK("https://www.torn.com/profiles.php?XID="&amp;B154,"Profile"))</f>
        <v/>
      </c>
      <c r="K154" s="7" t="str">
        <f aca="false">IF(B154="","",HYPERLINK("https://www.torn.com/loader.php?sid=attack&amp;user2ID="&amp;B154,"Attack"))</f>
        <v/>
      </c>
      <c r="L154" s="8" t="str">
        <f aca="false">IF(B154="","",IF(COUNTIF('Mug Log'!$B$5:$B$1004,B154)=0,"",_xlfn.MAXIFS('Mug Log'!$A$5:$A$1004,'Mug Log'!$B$5:$B$1004,B154)))</f>
        <v/>
      </c>
      <c r="M154" s="9" t="str">
        <f aca="false">IF(L154="","",SUMIFS('Mug Log'!$D$5:$D$1004,'Mug Log'!$B$5:$B$1004,B154,'Mug Log'!$A$5:$A$1004,L154))</f>
        <v/>
      </c>
      <c r="N154" s="8" t="str">
        <f aca="false">IF(L154="","",L154+Settings!$B$7/24)</f>
        <v/>
      </c>
      <c r="O154" s="8" t="str">
        <f aca="false">IF(N154="","",N154+Settings!$B$6/24)</f>
        <v/>
      </c>
      <c r="P154" s="10" t="str">
        <f aca="false">IF(B154="","",IF(L154="","Never hit",IF(N154&lt;=Settings!$B$8,"READY","Cooldown")))</f>
        <v/>
      </c>
      <c r="Q154" s="11" t="str">
        <f aca="false">IF(P154="Cooldown",N154-Settings!$B$8,"")</f>
        <v/>
      </c>
      <c r="R154" s="12" t="str">
        <f aca="false">IF(B154="","",COUNTIF('Mug Log'!$B$5:$B$1004,B154))</f>
        <v/>
      </c>
      <c r="S154" s="9" t="str">
        <f aca="false">IF(B154="","",SUMIFS('Mug Log'!$D$5:$D$1004,'Mug Log'!$B$5:$B$1004,B154))</f>
        <v/>
      </c>
      <c r="T154" s="9" t="str">
        <f aca="false">IF(OR(B154="",R154=0),"",S154/R154)</f>
        <v/>
      </c>
      <c r="U154" s="4"/>
    </row>
    <row r="155" customFormat="false" ht="15" hidden="false" customHeight="false" outlineLevel="0" collapsed="false">
      <c r="A155" s="4"/>
      <c r="B155" s="5"/>
      <c r="C155" s="4"/>
      <c r="D155" s="6"/>
      <c r="E155" s="4"/>
      <c r="F155" s="4"/>
      <c r="G155" s="6"/>
      <c r="H155" s="4"/>
      <c r="I155" s="4"/>
      <c r="J155" s="7" t="str">
        <f aca="false">IF(B155="","",HYPERLINK("https://www.torn.com/profiles.php?XID="&amp;B155,"Profile"))</f>
        <v/>
      </c>
      <c r="K155" s="7" t="str">
        <f aca="false">IF(B155="","",HYPERLINK("https://www.torn.com/loader.php?sid=attack&amp;user2ID="&amp;B155,"Attack"))</f>
        <v/>
      </c>
      <c r="L155" s="8" t="str">
        <f aca="false">IF(B155="","",IF(COUNTIF('Mug Log'!$B$5:$B$1004,B155)=0,"",_xlfn.MAXIFS('Mug Log'!$A$5:$A$1004,'Mug Log'!$B$5:$B$1004,B155)))</f>
        <v/>
      </c>
      <c r="M155" s="9" t="str">
        <f aca="false">IF(L155="","",SUMIFS('Mug Log'!$D$5:$D$1004,'Mug Log'!$B$5:$B$1004,B155,'Mug Log'!$A$5:$A$1004,L155))</f>
        <v/>
      </c>
      <c r="N155" s="8" t="str">
        <f aca="false">IF(L155="","",L155+Settings!$B$7/24)</f>
        <v/>
      </c>
      <c r="O155" s="8" t="str">
        <f aca="false">IF(N155="","",N155+Settings!$B$6/24)</f>
        <v/>
      </c>
      <c r="P155" s="10" t="str">
        <f aca="false">IF(B155="","",IF(L155="","Never hit",IF(N155&lt;=Settings!$B$8,"READY","Cooldown")))</f>
        <v/>
      </c>
      <c r="Q155" s="11" t="str">
        <f aca="false">IF(P155="Cooldown",N155-Settings!$B$8,"")</f>
        <v/>
      </c>
      <c r="R155" s="12" t="str">
        <f aca="false">IF(B155="","",COUNTIF('Mug Log'!$B$5:$B$1004,B155))</f>
        <v/>
      </c>
      <c r="S155" s="9" t="str">
        <f aca="false">IF(B155="","",SUMIFS('Mug Log'!$D$5:$D$1004,'Mug Log'!$B$5:$B$1004,B155))</f>
        <v/>
      </c>
      <c r="T155" s="9" t="str">
        <f aca="false">IF(OR(B155="",R155=0),"",S155/R155)</f>
        <v/>
      </c>
      <c r="U155" s="4"/>
    </row>
    <row r="156" customFormat="false" ht="15" hidden="false" customHeight="false" outlineLevel="0" collapsed="false">
      <c r="A156" s="4"/>
      <c r="B156" s="5"/>
      <c r="C156" s="4"/>
      <c r="D156" s="6"/>
      <c r="E156" s="4"/>
      <c r="F156" s="4"/>
      <c r="G156" s="6"/>
      <c r="H156" s="4"/>
      <c r="I156" s="4"/>
      <c r="J156" s="7" t="str">
        <f aca="false">IF(B156="","",HYPERLINK("https://www.torn.com/profiles.php?XID="&amp;B156,"Profile"))</f>
        <v/>
      </c>
      <c r="K156" s="7" t="str">
        <f aca="false">IF(B156="","",HYPERLINK("https://www.torn.com/loader.php?sid=attack&amp;user2ID="&amp;B156,"Attack"))</f>
        <v/>
      </c>
      <c r="L156" s="8" t="str">
        <f aca="false">IF(B156="","",IF(COUNTIF('Mug Log'!$B$5:$B$1004,B156)=0,"",_xlfn.MAXIFS('Mug Log'!$A$5:$A$1004,'Mug Log'!$B$5:$B$1004,B156)))</f>
        <v/>
      </c>
      <c r="M156" s="9" t="str">
        <f aca="false">IF(L156="","",SUMIFS('Mug Log'!$D$5:$D$1004,'Mug Log'!$B$5:$B$1004,B156,'Mug Log'!$A$5:$A$1004,L156))</f>
        <v/>
      </c>
      <c r="N156" s="8" t="str">
        <f aca="false">IF(L156="","",L156+Settings!$B$7/24)</f>
        <v/>
      </c>
      <c r="O156" s="8" t="str">
        <f aca="false">IF(N156="","",N156+Settings!$B$6/24)</f>
        <v/>
      </c>
      <c r="P156" s="10" t="str">
        <f aca="false">IF(B156="","",IF(L156="","Never hit",IF(N156&lt;=Settings!$B$8,"READY","Cooldown")))</f>
        <v/>
      </c>
      <c r="Q156" s="11" t="str">
        <f aca="false">IF(P156="Cooldown",N156-Settings!$B$8,"")</f>
        <v/>
      </c>
      <c r="R156" s="12" t="str">
        <f aca="false">IF(B156="","",COUNTIF('Mug Log'!$B$5:$B$1004,B156))</f>
        <v/>
      </c>
      <c r="S156" s="9" t="str">
        <f aca="false">IF(B156="","",SUMIFS('Mug Log'!$D$5:$D$1004,'Mug Log'!$B$5:$B$1004,B156))</f>
        <v/>
      </c>
      <c r="T156" s="9" t="str">
        <f aca="false">IF(OR(B156="",R156=0),"",S156/R156)</f>
        <v/>
      </c>
      <c r="U156" s="4"/>
    </row>
    <row r="157" customFormat="false" ht="15" hidden="false" customHeight="false" outlineLevel="0" collapsed="false">
      <c r="A157" s="4"/>
      <c r="B157" s="5"/>
      <c r="C157" s="4"/>
      <c r="D157" s="6"/>
      <c r="E157" s="4"/>
      <c r="F157" s="4"/>
      <c r="G157" s="6"/>
      <c r="H157" s="4"/>
      <c r="I157" s="4"/>
      <c r="J157" s="7" t="str">
        <f aca="false">IF(B157="","",HYPERLINK("https://www.torn.com/profiles.php?XID="&amp;B157,"Profile"))</f>
        <v/>
      </c>
      <c r="K157" s="7" t="str">
        <f aca="false">IF(B157="","",HYPERLINK("https://www.torn.com/loader.php?sid=attack&amp;user2ID="&amp;B157,"Attack"))</f>
        <v/>
      </c>
      <c r="L157" s="8" t="str">
        <f aca="false">IF(B157="","",IF(COUNTIF('Mug Log'!$B$5:$B$1004,B157)=0,"",_xlfn.MAXIFS('Mug Log'!$A$5:$A$1004,'Mug Log'!$B$5:$B$1004,B157)))</f>
        <v/>
      </c>
      <c r="M157" s="9" t="str">
        <f aca="false">IF(L157="","",SUMIFS('Mug Log'!$D$5:$D$1004,'Mug Log'!$B$5:$B$1004,B157,'Mug Log'!$A$5:$A$1004,L157))</f>
        <v/>
      </c>
      <c r="N157" s="8" t="str">
        <f aca="false">IF(L157="","",L157+Settings!$B$7/24)</f>
        <v/>
      </c>
      <c r="O157" s="8" t="str">
        <f aca="false">IF(N157="","",N157+Settings!$B$6/24)</f>
        <v/>
      </c>
      <c r="P157" s="10" t="str">
        <f aca="false">IF(B157="","",IF(L157="","Never hit",IF(N157&lt;=Settings!$B$8,"READY","Cooldown")))</f>
        <v/>
      </c>
      <c r="Q157" s="11" t="str">
        <f aca="false">IF(P157="Cooldown",N157-Settings!$B$8,"")</f>
        <v/>
      </c>
      <c r="R157" s="12" t="str">
        <f aca="false">IF(B157="","",COUNTIF('Mug Log'!$B$5:$B$1004,B157))</f>
        <v/>
      </c>
      <c r="S157" s="9" t="str">
        <f aca="false">IF(B157="","",SUMIFS('Mug Log'!$D$5:$D$1004,'Mug Log'!$B$5:$B$1004,B157))</f>
        <v/>
      </c>
      <c r="T157" s="9" t="str">
        <f aca="false">IF(OR(B157="",R157=0),"",S157/R157)</f>
        <v/>
      </c>
      <c r="U157" s="4"/>
    </row>
    <row r="158" customFormat="false" ht="15" hidden="false" customHeight="false" outlineLevel="0" collapsed="false">
      <c r="A158" s="4"/>
      <c r="B158" s="5"/>
      <c r="C158" s="4"/>
      <c r="D158" s="6"/>
      <c r="E158" s="4"/>
      <c r="F158" s="4"/>
      <c r="G158" s="6"/>
      <c r="H158" s="4"/>
      <c r="I158" s="4"/>
      <c r="J158" s="7" t="str">
        <f aca="false">IF(B158="","",HYPERLINK("https://www.torn.com/profiles.php?XID="&amp;B158,"Profile"))</f>
        <v/>
      </c>
      <c r="K158" s="7" t="str">
        <f aca="false">IF(B158="","",HYPERLINK("https://www.torn.com/loader.php?sid=attack&amp;user2ID="&amp;B158,"Attack"))</f>
        <v/>
      </c>
      <c r="L158" s="8" t="str">
        <f aca="false">IF(B158="","",IF(COUNTIF('Mug Log'!$B$5:$B$1004,B158)=0,"",_xlfn.MAXIFS('Mug Log'!$A$5:$A$1004,'Mug Log'!$B$5:$B$1004,B158)))</f>
        <v/>
      </c>
      <c r="M158" s="9" t="str">
        <f aca="false">IF(L158="","",SUMIFS('Mug Log'!$D$5:$D$1004,'Mug Log'!$B$5:$B$1004,B158,'Mug Log'!$A$5:$A$1004,L158))</f>
        <v/>
      </c>
      <c r="N158" s="8" t="str">
        <f aca="false">IF(L158="","",L158+Settings!$B$7/24)</f>
        <v/>
      </c>
      <c r="O158" s="8" t="str">
        <f aca="false">IF(N158="","",N158+Settings!$B$6/24)</f>
        <v/>
      </c>
      <c r="P158" s="10" t="str">
        <f aca="false">IF(B158="","",IF(L158="","Never hit",IF(N158&lt;=Settings!$B$8,"READY","Cooldown")))</f>
        <v/>
      </c>
      <c r="Q158" s="11" t="str">
        <f aca="false">IF(P158="Cooldown",N158-Settings!$B$8,"")</f>
        <v/>
      </c>
      <c r="R158" s="12" t="str">
        <f aca="false">IF(B158="","",COUNTIF('Mug Log'!$B$5:$B$1004,B158))</f>
        <v/>
      </c>
      <c r="S158" s="9" t="str">
        <f aca="false">IF(B158="","",SUMIFS('Mug Log'!$D$5:$D$1004,'Mug Log'!$B$5:$B$1004,B158))</f>
        <v/>
      </c>
      <c r="T158" s="9" t="str">
        <f aca="false">IF(OR(B158="",R158=0),"",S158/R158)</f>
        <v/>
      </c>
      <c r="U158" s="4"/>
    </row>
    <row r="159" customFormat="false" ht="15" hidden="false" customHeight="false" outlineLevel="0" collapsed="false">
      <c r="A159" s="4"/>
      <c r="B159" s="5"/>
      <c r="C159" s="4"/>
      <c r="D159" s="6"/>
      <c r="E159" s="4"/>
      <c r="F159" s="4"/>
      <c r="G159" s="6"/>
      <c r="H159" s="4"/>
      <c r="I159" s="4"/>
      <c r="J159" s="7" t="str">
        <f aca="false">IF(B159="","",HYPERLINK("https://www.torn.com/profiles.php?XID="&amp;B159,"Profile"))</f>
        <v/>
      </c>
      <c r="K159" s="7" t="str">
        <f aca="false">IF(B159="","",HYPERLINK("https://www.torn.com/loader.php?sid=attack&amp;user2ID="&amp;B159,"Attack"))</f>
        <v/>
      </c>
      <c r="L159" s="8" t="str">
        <f aca="false">IF(B159="","",IF(COUNTIF('Mug Log'!$B$5:$B$1004,B159)=0,"",_xlfn.MAXIFS('Mug Log'!$A$5:$A$1004,'Mug Log'!$B$5:$B$1004,B159)))</f>
        <v/>
      </c>
      <c r="M159" s="9" t="str">
        <f aca="false">IF(L159="","",SUMIFS('Mug Log'!$D$5:$D$1004,'Mug Log'!$B$5:$B$1004,B159,'Mug Log'!$A$5:$A$1004,L159))</f>
        <v/>
      </c>
      <c r="N159" s="8" t="str">
        <f aca="false">IF(L159="","",L159+Settings!$B$7/24)</f>
        <v/>
      </c>
      <c r="O159" s="8" t="str">
        <f aca="false">IF(N159="","",N159+Settings!$B$6/24)</f>
        <v/>
      </c>
      <c r="P159" s="10" t="str">
        <f aca="false">IF(B159="","",IF(L159="","Never hit",IF(N159&lt;=Settings!$B$8,"READY","Cooldown")))</f>
        <v/>
      </c>
      <c r="Q159" s="11" t="str">
        <f aca="false">IF(P159="Cooldown",N159-Settings!$B$8,"")</f>
        <v/>
      </c>
      <c r="R159" s="12" t="str">
        <f aca="false">IF(B159="","",COUNTIF('Mug Log'!$B$5:$B$1004,B159))</f>
        <v/>
      </c>
      <c r="S159" s="9" t="str">
        <f aca="false">IF(B159="","",SUMIFS('Mug Log'!$D$5:$D$1004,'Mug Log'!$B$5:$B$1004,B159))</f>
        <v/>
      </c>
      <c r="T159" s="9" t="str">
        <f aca="false">IF(OR(B159="",R159=0),"",S159/R159)</f>
        <v/>
      </c>
      <c r="U159" s="4"/>
    </row>
    <row r="160" customFormat="false" ht="15" hidden="false" customHeight="false" outlineLevel="0" collapsed="false">
      <c r="A160" s="4"/>
      <c r="B160" s="5"/>
      <c r="C160" s="4"/>
      <c r="D160" s="6"/>
      <c r="E160" s="4"/>
      <c r="F160" s="4"/>
      <c r="G160" s="6"/>
      <c r="H160" s="4"/>
      <c r="I160" s="4"/>
      <c r="J160" s="7" t="str">
        <f aca="false">IF(B160="","",HYPERLINK("https://www.torn.com/profiles.php?XID="&amp;B160,"Profile"))</f>
        <v/>
      </c>
      <c r="K160" s="7" t="str">
        <f aca="false">IF(B160="","",HYPERLINK("https://www.torn.com/loader.php?sid=attack&amp;user2ID="&amp;B160,"Attack"))</f>
        <v/>
      </c>
      <c r="L160" s="8" t="str">
        <f aca="false">IF(B160="","",IF(COUNTIF('Mug Log'!$B$5:$B$1004,B160)=0,"",_xlfn.MAXIFS('Mug Log'!$A$5:$A$1004,'Mug Log'!$B$5:$B$1004,B160)))</f>
        <v/>
      </c>
      <c r="M160" s="9" t="str">
        <f aca="false">IF(L160="","",SUMIFS('Mug Log'!$D$5:$D$1004,'Mug Log'!$B$5:$B$1004,B160,'Mug Log'!$A$5:$A$1004,L160))</f>
        <v/>
      </c>
      <c r="N160" s="8" t="str">
        <f aca="false">IF(L160="","",L160+Settings!$B$7/24)</f>
        <v/>
      </c>
      <c r="O160" s="8" t="str">
        <f aca="false">IF(N160="","",N160+Settings!$B$6/24)</f>
        <v/>
      </c>
      <c r="P160" s="10" t="str">
        <f aca="false">IF(B160="","",IF(L160="","Never hit",IF(N160&lt;=Settings!$B$8,"READY","Cooldown")))</f>
        <v/>
      </c>
      <c r="Q160" s="11" t="str">
        <f aca="false">IF(P160="Cooldown",N160-Settings!$B$8,"")</f>
        <v/>
      </c>
      <c r="R160" s="12" t="str">
        <f aca="false">IF(B160="","",COUNTIF('Mug Log'!$B$5:$B$1004,B160))</f>
        <v/>
      </c>
      <c r="S160" s="9" t="str">
        <f aca="false">IF(B160="","",SUMIFS('Mug Log'!$D$5:$D$1004,'Mug Log'!$B$5:$B$1004,B160))</f>
        <v/>
      </c>
      <c r="T160" s="9" t="str">
        <f aca="false">IF(OR(B160="",R160=0),"",S160/R160)</f>
        <v/>
      </c>
      <c r="U160" s="4"/>
    </row>
    <row r="161" customFormat="false" ht="15" hidden="false" customHeight="false" outlineLevel="0" collapsed="false">
      <c r="A161" s="4"/>
      <c r="B161" s="5"/>
      <c r="C161" s="4"/>
      <c r="D161" s="6"/>
      <c r="E161" s="4"/>
      <c r="F161" s="4"/>
      <c r="G161" s="6"/>
      <c r="H161" s="4"/>
      <c r="I161" s="4"/>
      <c r="J161" s="7" t="str">
        <f aca="false">IF(B161="","",HYPERLINK("https://www.torn.com/profiles.php?XID="&amp;B161,"Profile"))</f>
        <v/>
      </c>
      <c r="K161" s="7" t="str">
        <f aca="false">IF(B161="","",HYPERLINK("https://www.torn.com/loader.php?sid=attack&amp;user2ID="&amp;B161,"Attack"))</f>
        <v/>
      </c>
      <c r="L161" s="8" t="str">
        <f aca="false">IF(B161="","",IF(COUNTIF('Mug Log'!$B$5:$B$1004,B161)=0,"",_xlfn.MAXIFS('Mug Log'!$A$5:$A$1004,'Mug Log'!$B$5:$B$1004,B161)))</f>
        <v/>
      </c>
      <c r="M161" s="9" t="str">
        <f aca="false">IF(L161="","",SUMIFS('Mug Log'!$D$5:$D$1004,'Mug Log'!$B$5:$B$1004,B161,'Mug Log'!$A$5:$A$1004,L161))</f>
        <v/>
      </c>
      <c r="N161" s="8" t="str">
        <f aca="false">IF(L161="","",L161+Settings!$B$7/24)</f>
        <v/>
      </c>
      <c r="O161" s="8" t="str">
        <f aca="false">IF(N161="","",N161+Settings!$B$6/24)</f>
        <v/>
      </c>
      <c r="P161" s="10" t="str">
        <f aca="false">IF(B161="","",IF(L161="","Never hit",IF(N161&lt;=Settings!$B$8,"READY","Cooldown")))</f>
        <v/>
      </c>
      <c r="Q161" s="11" t="str">
        <f aca="false">IF(P161="Cooldown",N161-Settings!$B$8,"")</f>
        <v/>
      </c>
      <c r="R161" s="12" t="str">
        <f aca="false">IF(B161="","",COUNTIF('Mug Log'!$B$5:$B$1004,B161))</f>
        <v/>
      </c>
      <c r="S161" s="9" t="str">
        <f aca="false">IF(B161="","",SUMIFS('Mug Log'!$D$5:$D$1004,'Mug Log'!$B$5:$B$1004,B161))</f>
        <v/>
      </c>
      <c r="T161" s="9" t="str">
        <f aca="false">IF(OR(B161="",R161=0),"",S161/R161)</f>
        <v/>
      </c>
      <c r="U161" s="4"/>
    </row>
    <row r="162" customFormat="false" ht="15" hidden="false" customHeight="false" outlineLevel="0" collapsed="false">
      <c r="A162" s="4"/>
      <c r="B162" s="5"/>
      <c r="C162" s="4"/>
      <c r="D162" s="6"/>
      <c r="E162" s="4"/>
      <c r="F162" s="4"/>
      <c r="G162" s="6"/>
      <c r="H162" s="4"/>
      <c r="I162" s="4"/>
      <c r="J162" s="7" t="str">
        <f aca="false">IF(B162="","",HYPERLINK("https://www.torn.com/profiles.php?XID="&amp;B162,"Profile"))</f>
        <v/>
      </c>
      <c r="K162" s="7" t="str">
        <f aca="false">IF(B162="","",HYPERLINK("https://www.torn.com/loader.php?sid=attack&amp;user2ID="&amp;B162,"Attack"))</f>
        <v/>
      </c>
      <c r="L162" s="8" t="str">
        <f aca="false">IF(B162="","",IF(COUNTIF('Mug Log'!$B$5:$B$1004,B162)=0,"",_xlfn.MAXIFS('Mug Log'!$A$5:$A$1004,'Mug Log'!$B$5:$B$1004,B162)))</f>
        <v/>
      </c>
      <c r="M162" s="9" t="str">
        <f aca="false">IF(L162="","",SUMIFS('Mug Log'!$D$5:$D$1004,'Mug Log'!$B$5:$B$1004,B162,'Mug Log'!$A$5:$A$1004,L162))</f>
        <v/>
      </c>
      <c r="N162" s="8" t="str">
        <f aca="false">IF(L162="","",L162+Settings!$B$7/24)</f>
        <v/>
      </c>
      <c r="O162" s="8" t="str">
        <f aca="false">IF(N162="","",N162+Settings!$B$6/24)</f>
        <v/>
      </c>
      <c r="P162" s="10" t="str">
        <f aca="false">IF(B162="","",IF(L162="","Never hit",IF(N162&lt;=Settings!$B$8,"READY","Cooldown")))</f>
        <v/>
      </c>
      <c r="Q162" s="11" t="str">
        <f aca="false">IF(P162="Cooldown",N162-Settings!$B$8,"")</f>
        <v/>
      </c>
      <c r="R162" s="12" t="str">
        <f aca="false">IF(B162="","",COUNTIF('Mug Log'!$B$5:$B$1004,B162))</f>
        <v/>
      </c>
      <c r="S162" s="9" t="str">
        <f aca="false">IF(B162="","",SUMIFS('Mug Log'!$D$5:$D$1004,'Mug Log'!$B$5:$B$1004,B162))</f>
        <v/>
      </c>
      <c r="T162" s="9" t="str">
        <f aca="false">IF(OR(B162="",R162=0),"",S162/R162)</f>
        <v/>
      </c>
      <c r="U162" s="4"/>
    </row>
    <row r="163" customFormat="false" ht="15" hidden="false" customHeight="false" outlineLevel="0" collapsed="false">
      <c r="A163" s="4"/>
      <c r="B163" s="5"/>
      <c r="C163" s="4"/>
      <c r="D163" s="6"/>
      <c r="E163" s="4"/>
      <c r="F163" s="4"/>
      <c r="G163" s="6"/>
      <c r="H163" s="4"/>
      <c r="I163" s="4"/>
      <c r="J163" s="7" t="str">
        <f aca="false">IF(B163="","",HYPERLINK("https://www.torn.com/profiles.php?XID="&amp;B163,"Profile"))</f>
        <v/>
      </c>
      <c r="K163" s="7" t="str">
        <f aca="false">IF(B163="","",HYPERLINK("https://www.torn.com/loader.php?sid=attack&amp;user2ID="&amp;B163,"Attack"))</f>
        <v/>
      </c>
      <c r="L163" s="8" t="str">
        <f aca="false">IF(B163="","",IF(COUNTIF('Mug Log'!$B$5:$B$1004,B163)=0,"",_xlfn.MAXIFS('Mug Log'!$A$5:$A$1004,'Mug Log'!$B$5:$B$1004,B163)))</f>
        <v/>
      </c>
      <c r="M163" s="9" t="str">
        <f aca="false">IF(L163="","",SUMIFS('Mug Log'!$D$5:$D$1004,'Mug Log'!$B$5:$B$1004,B163,'Mug Log'!$A$5:$A$1004,L163))</f>
        <v/>
      </c>
      <c r="N163" s="8" t="str">
        <f aca="false">IF(L163="","",L163+Settings!$B$7/24)</f>
        <v/>
      </c>
      <c r="O163" s="8" t="str">
        <f aca="false">IF(N163="","",N163+Settings!$B$6/24)</f>
        <v/>
      </c>
      <c r="P163" s="10" t="str">
        <f aca="false">IF(B163="","",IF(L163="","Never hit",IF(N163&lt;=Settings!$B$8,"READY","Cooldown")))</f>
        <v/>
      </c>
      <c r="Q163" s="11" t="str">
        <f aca="false">IF(P163="Cooldown",N163-Settings!$B$8,"")</f>
        <v/>
      </c>
      <c r="R163" s="12" t="str">
        <f aca="false">IF(B163="","",COUNTIF('Mug Log'!$B$5:$B$1004,B163))</f>
        <v/>
      </c>
      <c r="S163" s="9" t="str">
        <f aca="false">IF(B163="","",SUMIFS('Mug Log'!$D$5:$D$1004,'Mug Log'!$B$5:$B$1004,B163))</f>
        <v/>
      </c>
      <c r="T163" s="9" t="str">
        <f aca="false">IF(OR(B163="",R163=0),"",S163/R163)</f>
        <v/>
      </c>
      <c r="U163" s="4"/>
    </row>
    <row r="164" customFormat="false" ht="15" hidden="false" customHeight="false" outlineLevel="0" collapsed="false">
      <c r="A164" s="4"/>
      <c r="B164" s="5"/>
      <c r="C164" s="4"/>
      <c r="D164" s="6"/>
      <c r="E164" s="4"/>
      <c r="F164" s="4"/>
      <c r="G164" s="6"/>
      <c r="H164" s="4"/>
      <c r="I164" s="4"/>
      <c r="J164" s="7" t="str">
        <f aca="false">IF(B164="","",HYPERLINK("https://www.torn.com/profiles.php?XID="&amp;B164,"Profile"))</f>
        <v/>
      </c>
      <c r="K164" s="7" t="str">
        <f aca="false">IF(B164="","",HYPERLINK("https://www.torn.com/loader.php?sid=attack&amp;user2ID="&amp;B164,"Attack"))</f>
        <v/>
      </c>
      <c r="L164" s="8" t="str">
        <f aca="false">IF(B164="","",IF(COUNTIF('Mug Log'!$B$5:$B$1004,B164)=0,"",_xlfn.MAXIFS('Mug Log'!$A$5:$A$1004,'Mug Log'!$B$5:$B$1004,B164)))</f>
        <v/>
      </c>
      <c r="M164" s="9" t="str">
        <f aca="false">IF(L164="","",SUMIFS('Mug Log'!$D$5:$D$1004,'Mug Log'!$B$5:$B$1004,B164,'Mug Log'!$A$5:$A$1004,L164))</f>
        <v/>
      </c>
      <c r="N164" s="8" t="str">
        <f aca="false">IF(L164="","",L164+Settings!$B$7/24)</f>
        <v/>
      </c>
      <c r="O164" s="8" t="str">
        <f aca="false">IF(N164="","",N164+Settings!$B$6/24)</f>
        <v/>
      </c>
      <c r="P164" s="10" t="str">
        <f aca="false">IF(B164="","",IF(L164="","Never hit",IF(N164&lt;=Settings!$B$8,"READY","Cooldown")))</f>
        <v/>
      </c>
      <c r="Q164" s="11" t="str">
        <f aca="false">IF(P164="Cooldown",N164-Settings!$B$8,"")</f>
        <v/>
      </c>
      <c r="R164" s="12" t="str">
        <f aca="false">IF(B164="","",COUNTIF('Mug Log'!$B$5:$B$1004,B164))</f>
        <v/>
      </c>
      <c r="S164" s="9" t="str">
        <f aca="false">IF(B164="","",SUMIFS('Mug Log'!$D$5:$D$1004,'Mug Log'!$B$5:$B$1004,B164))</f>
        <v/>
      </c>
      <c r="T164" s="9" t="str">
        <f aca="false">IF(OR(B164="",R164=0),"",S164/R164)</f>
        <v/>
      </c>
      <c r="U164" s="4"/>
    </row>
    <row r="165" customFormat="false" ht="15" hidden="false" customHeight="false" outlineLevel="0" collapsed="false">
      <c r="A165" s="4"/>
      <c r="B165" s="5"/>
      <c r="C165" s="4"/>
      <c r="D165" s="6"/>
      <c r="E165" s="4"/>
      <c r="F165" s="4"/>
      <c r="G165" s="6"/>
      <c r="H165" s="4"/>
      <c r="I165" s="4"/>
      <c r="J165" s="7" t="str">
        <f aca="false">IF(B165="","",HYPERLINK("https://www.torn.com/profiles.php?XID="&amp;B165,"Profile"))</f>
        <v/>
      </c>
      <c r="K165" s="7" t="str">
        <f aca="false">IF(B165="","",HYPERLINK("https://www.torn.com/loader.php?sid=attack&amp;user2ID="&amp;B165,"Attack"))</f>
        <v/>
      </c>
      <c r="L165" s="8" t="str">
        <f aca="false">IF(B165="","",IF(COUNTIF('Mug Log'!$B$5:$B$1004,B165)=0,"",_xlfn.MAXIFS('Mug Log'!$A$5:$A$1004,'Mug Log'!$B$5:$B$1004,B165)))</f>
        <v/>
      </c>
      <c r="M165" s="9" t="str">
        <f aca="false">IF(L165="","",SUMIFS('Mug Log'!$D$5:$D$1004,'Mug Log'!$B$5:$B$1004,B165,'Mug Log'!$A$5:$A$1004,L165))</f>
        <v/>
      </c>
      <c r="N165" s="8" t="str">
        <f aca="false">IF(L165="","",L165+Settings!$B$7/24)</f>
        <v/>
      </c>
      <c r="O165" s="8" t="str">
        <f aca="false">IF(N165="","",N165+Settings!$B$6/24)</f>
        <v/>
      </c>
      <c r="P165" s="10" t="str">
        <f aca="false">IF(B165="","",IF(L165="","Never hit",IF(N165&lt;=Settings!$B$8,"READY","Cooldown")))</f>
        <v/>
      </c>
      <c r="Q165" s="11" t="str">
        <f aca="false">IF(P165="Cooldown",N165-Settings!$B$8,"")</f>
        <v/>
      </c>
      <c r="R165" s="12" t="str">
        <f aca="false">IF(B165="","",COUNTIF('Mug Log'!$B$5:$B$1004,B165))</f>
        <v/>
      </c>
      <c r="S165" s="9" t="str">
        <f aca="false">IF(B165="","",SUMIFS('Mug Log'!$D$5:$D$1004,'Mug Log'!$B$5:$B$1004,B165))</f>
        <v/>
      </c>
      <c r="T165" s="9" t="str">
        <f aca="false">IF(OR(B165="",R165=0),"",S165/R165)</f>
        <v/>
      </c>
      <c r="U165" s="4"/>
    </row>
    <row r="166" customFormat="false" ht="15" hidden="false" customHeight="false" outlineLevel="0" collapsed="false">
      <c r="A166" s="4"/>
      <c r="B166" s="5"/>
      <c r="C166" s="4"/>
      <c r="D166" s="6"/>
      <c r="E166" s="4"/>
      <c r="F166" s="4"/>
      <c r="G166" s="6"/>
      <c r="H166" s="4"/>
      <c r="I166" s="4"/>
      <c r="J166" s="7" t="str">
        <f aca="false">IF(B166="","",HYPERLINK("https://www.torn.com/profiles.php?XID="&amp;B166,"Profile"))</f>
        <v/>
      </c>
      <c r="K166" s="7" t="str">
        <f aca="false">IF(B166="","",HYPERLINK("https://www.torn.com/loader.php?sid=attack&amp;user2ID="&amp;B166,"Attack"))</f>
        <v/>
      </c>
      <c r="L166" s="8" t="str">
        <f aca="false">IF(B166="","",IF(COUNTIF('Mug Log'!$B$5:$B$1004,B166)=0,"",_xlfn.MAXIFS('Mug Log'!$A$5:$A$1004,'Mug Log'!$B$5:$B$1004,B166)))</f>
        <v/>
      </c>
      <c r="M166" s="9" t="str">
        <f aca="false">IF(L166="","",SUMIFS('Mug Log'!$D$5:$D$1004,'Mug Log'!$B$5:$B$1004,B166,'Mug Log'!$A$5:$A$1004,L166))</f>
        <v/>
      </c>
      <c r="N166" s="8" t="str">
        <f aca="false">IF(L166="","",L166+Settings!$B$7/24)</f>
        <v/>
      </c>
      <c r="O166" s="8" t="str">
        <f aca="false">IF(N166="","",N166+Settings!$B$6/24)</f>
        <v/>
      </c>
      <c r="P166" s="10" t="str">
        <f aca="false">IF(B166="","",IF(L166="","Never hit",IF(N166&lt;=Settings!$B$8,"READY","Cooldown")))</f>
        <v/>
      </c>
      <c r="Q166" s="11" t="str">
        <f aca="false">IF(P166="Cooldown",N166-Settings!$B$8,"")</f>
        <v/>
      </c>
      <c r="R166" s="12" t="str">
        <f aca="false">IF(B166="","",COUNTIF('Mug Log'!$B$5:$B$1004,B166))</f>
        <v/>
      </c>
      <c r="S166" s="9" t="str">
        <f aca="false">IF(B166="","",SUMIFS('Mug Log'!$D$5:$D$1004,'Mug Log'!$B$5:$B$1004,B166))</f>
        <v/>
      </c>
      <c r="T166" s="9" t="str">
        <f aca="false">IF(OR(B166="",R166=0),"",S166/R166)</f>
        <v/>
      </c>
      <c r="U166" s="4"/>
    </row>
    <row r="167" customFormat="false" ht="15" hidden="false" customHeight="false" outlineLevel="0" collapsed="false">
      <c r="A167" s="4"/>
      <c r="B167" s="5"/>
      <c r="C167" s="4"/>
      <c r="D167" s="6"/>
      <c r="E167" s="4"/>
      <c r="F167" s="4"/>
      <c r="G167" s="6"/>
      <c r="H167" s="4"/>
      <c r="I167" s="4"/>
      <c r="J167" s="7" t="str">
        <f aca="false">IF(B167="","",HYPERLINK("https://www.torn.com/profiles.php?XID="&amp;B167,"Profile"))</f>
        <v/>
      </c>
      <c r="K167" s="7" t="str">
        <f aca="false">IF(B167="","",HYPERLINK("https://www.torn.com/loader.php?sid=attack&amp;user2ID="&amp;B167,"Attack"))</f>
        <v/>
      </c>
      <c r="L167" s="8" t="str">
        <f aca="false">IF(B167="","",IF(COUNTIF('Mug Log'!$B$5:$B$1004,B167)=0,"",_xlfn.MAXIFS('Mug Log'!$A$5:$A$1004,'Mug Log'!$B$5:$B$1004,B167)))</f>
        <v/>
      </c>
      <c r="M167" s="9" t="str">
        <f aca="false">IF(L167="","",SUMIFS('Mug Log'!$D$5:$D$1004,'Mug Log'!$B$5:$B$1004,B167,'Mug Log'!$A$5:$A$1004,L167))</f>
        <v/>
      </c>
      <c r="N167" s="8" t="str">
        <f aca="false">IF(L167="","",L167+Settings!$B$7/24)</f>
        <v/>
      </c>
      <c r="O167" s="8" t="str">
        <f aca="false">IF(N167="","",N167+Settings!$B$6/24)</f>
        <v/>
      </c>
      <c r="P167" s="10" t="str">
        <f aca="false">IF(B167="","",IF(L167="","Never hit",IF(N167&lt;=Settings!$B$8,"READY","Cooldown")))</f>
        <v/>
      </c>
      <c r="Q167" s="11" t="str">
        <f aca="false">IF(P167="Cooldown",N167-Settings!$B$8,"")</f>
        <v/>
      </c>
      <c r="R167" s="12" t="str">
        <f aca="false">IF(B167="","",COUNTIF('Mug Log'!$B$5:$B$1004,B167))</f>
        <v/>
      </c>
      <c r="S167" s="9" t="str">
        <f aca="false">IF(B167="","",SUMIFS('Mug Log'!$D$5:$D$1004,'Mug Log'!$B$5:$B$1004,B167))</f>
        <v/>
      </c>
      <c r="T167" s="9" t="str">
        <f aca="false">IF(OR(B167="",R167=0),"",S167/R167)</f>
        <v/>
      </c>
      <c r="U167" s="4"/>
    </row>
    <row r="168" customFormat="false" ht="15" hidden="false" customHeight="false" outlineLevel="0" collapsed="false">
      <c r="A168" s="4"/>
      <c r="B168" s="5"/>
      <c r="C168" s="4"/>
      <c r="D168" s="6"/>
      <c r="E168" s="4"/>
      <c r="F168" s="4"/>
      <c r="G168" s="6"/>
      <c r="H168" s="4"/>
      <c r="I168" s="4"/>
      <c r="J168" s="7" t="str">
        <f aca="false">IF(B168="","",HYPERLINK("https://www.torn.com/profiles.php?XID="&amp;B168,"Profile"))</f>
        <v/>
      </c>
      <c r="K168" s="7" t="str">
        <f aca="false">IF(B168="","",HYPERLINK("https://www.torn.com/loader.php?sid=attack&amp;user2ID="&amp;B168,"Attack"))</f>
        <v/>
      </c>
      <c r="L168" s="8" t="str">
        <f aca="false">IF(B168="","",IF(COUNTIF('Mug Log'!$B$5:$B$1004,B168)=0,"",_xlfn.MAXIFS('Mug Log'!$A$5:$A$1004,'Mug Log'!$B$5:$B$1004,B168)))</f>
        <v/>
      </c>
      <c r="M168" s="9" t="str">
        <f aca="false">IF(L168="","",SUMIFS('Mug Log'!$D$5:$D$1004,'Mug Log'!$B$5:$B$1004,B168,'Mug Log'!$A$5:$A$1004,L168))</f>
        <v/>
      </c>
      <c r="N168" s="8" t="str">
        <f aca="false">IF(L168="","",L168+Settings!$B$7/24)</f>
        <v/>
      </c>
      <c r="O168" s="8" t="str">
        <f aca="false">IF(N168="","",N168+Settings!$B$6/24)</f>
        <v/>
      </c>
      <c r="P168" s="10" t="str">
        <f aca="false">IF(B168="","",IF(L168="","Never hit",IF(N168&lt;=Settings!$B$8,"READY","Cooldown")))</f>
        <v/>
      </c>
      <c r="Q168" s="11" t="str">
        <f aca="false">IF(P168="Cooldown",N168-Settings!$B$8,"")</f>
        <v/>
      </c>
      <c r="R168" s="12" t="str">
        <f aca="false">IF(B168="","",COUNTIF('Mug Log'!$B$5:$B$1004,B168))</f>
        <v/>
      </c>
      <c r="S168" s="9" t="str">
        <f aca="false">IF(B168="","",SUMIFS('Mug Log'!$D$5:$D$1004,'Mug Log'!$B$5:$B$1004,B168))</f>
        <v/>
      </c>
      <c r="T168" s="9" t="str">
        <f aca="false">IF(OR(B168="",R168=0),"",S168/R168)</f>
        <v/>
      </c>
      <c r="U168" s="4"/>
    </row>
    <row r="169" customFormat="false" ht="15" hidden="false" customHeight="false" outlineLevel="0" collapsed="false">
      <c r="A169" s="4"/>
      <c r="B169" s="5"/>
      <c r="C169" s="4"/>
      <c r="D169" s="6"/>
      <c r="E169" s="4"/>
      <c r="F169" s="4"/>
      <c r="G169" s="6"/>
      <c r="H169" s="4"/>
      <c r="I169" s="4"/>
      <c r="J169" s="7" t="str">
        <f aca="false">IF(B169="","",HYPERLINK("https://www.torn.com/profiles.php?XID="&amp;B169,"Profile"))</f>
        <v/>
      </c>
      <c r="K169" s="7" t="str">
        <f aca="false">IF(B169="","",HYPERLINK("https://www.torn.com/loader.php?sid=attack&amp;user2ID="&amp;B169,"Attack"))</f>
        <v/>
      </c>
      <c r="L169" s="8" t="str">
        <f aca="false">IF(B169="","",IF(COUNTIF('Mug Log'!$B$5:$B$1004,B169)=0,"",_xlfn.MAXIFS('Mug Log'!$A$5:$A$1004,'Mug Log'!$B$5:$B$1004,B169)))</f>
        <v/>
      </c>
      <c r="M169" s="9" t="str">
        <f aca="false">IF(L169="","",SUMIFS('Mug Log'!$D$5:$D$1004,'Mug Log'!$B$5:$B$1004,B169,'Mug Log'!$A$5:$A$1004,L169))</f>
        <v/>
      </c>
      <c r="N169" s="8" t="str">
        <f aca="false">IF(L169="","",L169+Settings!$B$7/24)</f>
        <v/>
      </c>
      <c r="O169" s="8" t="str">
        <f aca="false">IF(N169="","",N169+Settings!$B$6/24)</f>
        <v/>
      </c>
      <c r="P169" s="10" t="str">
        <f aca="false">IF(B169="","",IF(L169="","Never hit",IF(N169&lt;=Settings!$B$8,"READY","Cooldown")))</f>
        <v/>
      </c>
      <c r="Q169" s="11" t="str">
        <f aca="false">IF(P169="Cooldown",N169-Settings!$B$8,"")</f>
        <v/>
      </c>
      <c r="R169" s="12" t="str">
        <f aca="false">IF(B169="","",COUNTIF('Mug Log'!$B$5:$B$1004,B169))</f>
        <v/>
      </c>
      <c r="S169" s="9" t="str">
        <f aca="false">IF(B169="","",SUMIFS('Mug Log'!$D$5:$D$1004,'Mug Log'!$B$5:$B$1004,B169))</f>
        <v/>
      </c>
      <c r="T169" s="9" t="str">
        <f aca="false">IF(OR(B169="",R169=0),"",S169/R169)</f>
        <v/>
      </c>
      <c r="U169" s="4"/>
    </row>
    <row r="170" customFormat="false" ht="15" hidden="false" customHeight="false" outlineLevel="0" collapsed="false">
      <c r="A170" s="4"/>
      <c r="B170" s="5"/>
      <c r="C170" s="4"/>
      <c r="D170" s="6"/>
      <c r="E170" s="4"/>
      <c r="F170" s="4"/>
      <c r="G170" s="6"/>
      <c r="H170" s="4"/>
      <c r="I170" s="4"/>
      <c r="J170" s="7" t="str">
        <f aca="false">IF(B170="","",HYPERLINK("https://www.torn.com/profiles.php?XID="&amp;B170,"Profile"))</f>
        <v/>
      </c>
      <c r="K170" s="7" t="str">
        <f aca="false">IF(B170="","",HYPERLINK("https://www.torn.com/loader.php?sid=attack&amp;user2ID="&amp;B170,"Attack"))</f>
        <v/>
      </c>
      <c r="L170" s="8" t="str">
        <f aca="false">IF(B170="","",IF(COUNTIF('Mug Log'!$B$5:$B$1004,B170)=0,"",_xlfn.MAXIFS('Mug Log'!$A$5:$A$1004,'Mug Log'!$B$5:$B$1004,B170)))</f>
        <v/>
      </c>
      <c r="M170" s="9" t="str">
        <f aca="false">IF(L170="","",SUMIFS('Mug Log'!$D$5:$D$1004,'Mug Log'!$B$5:$B$1004,B170,'Mug Log'!$A$5:$A$1004,L170))</f>
        <v/>
      </c>
      <c r="N170" s="8" t="str">
        <f aca="false">IF(L170="","",L170+Settings!$B$7/24)</f>
        <v/>
      </c>
      <c r="O170" s="8" t="str">
        <f aca="false">IF(N170="","",N170+Settings!$B$6/24)</f>
        <v/>
      </c>
      <c r="P170" s="10" t="str">
        <f aca="false">IF(B170="","",IF(L170="","Never hit",IF(N170&lt;=Settings!$B$8,"READY","Cooldown")))</f>
        <v/>
      </c>
      <c r="Q170" s="11" t="str">
        <f aca="false">IF(P170="Cooldown",N170-Settings!$B$8,"")</f>
        <v/>
      </c>
      <c r="R170" s="12" t="str">
        <f aca="false">IF(B170="","",COUNTIF('Mug Log'!$B$5:$B$1004,B170))</f>
        <v/>
      </c>
      <c r="S170" s="9" t="str">
        <f aca="false">IF(B170="","",SUMIFS('Mug Log'!$D$5:$D$1004,'Mug Log'!$B$5:$B$1004,B170))</f>
        <v/>
      </c>
      <c r="T170" s="9" t="str">
        <f aca="false">IF(OR(B170="",R170=0),"",S170/R170)</f>
        <v/>
      </c>
      <c r="U170" s="4"/>
    </row>
    <row r="171" customFormat="false" ht="15" hidden="false" customHeight="false" outlineLevel="0" collapsed="false">
      <c r="A171" s="4"/>
      <c r="B171" s="5"/>
      <c r="C171" s="4"/>
      <c r="D171" s="6"/>
      <c r="E171" s="4"/>
      <c r="F171" s="4"/>
      <c r="G171" s="6"/>
      <c r="H171" s="4"/>
      <c r="I171" s="4"/>
      <c r="J171" s="7" t="str">
        <f aca="false">IF(B171="","",HYPERLINK("https://www.torn.com/profiles.php?XID="&amp;B171,"Profile"))</f>
        <v/>
      </c>
      <c r="K171" s="7" t="str">
        <f aca="false">IF(B171="","",HYPERLINK("https://www.torn.com/loader.php?sid=attack&amp;user2ID="&amp;B171,"Attack"))</f>
        <v/>
      </c>
      <c r="L171" s="8" t="str">
        <f aca="false">IF(B171="","",IF(COUNTIF('Mug Log'!$B$5:$B$1004,B171)=0,"",_xlfn.MAXIFS('Mug Log'!$A$5:$A$1004,'Mug Log'!$B$5:$B$1004,B171)))</f>
        <v/>
      </c>
      <c r="M171" s="9" t="str">
        <f aca="false">IF(L171="","",SUMIFS('Mug Log'!$D$5:$D$1004,'Mug Log'!$B$5:$B$1004,B171,'Mug Log'!$A$5:$A$1004,L171))</f>
        <v/>
      </c>
      <c r="N171" s="8" t="str">
        <f aca="false">IF(L171="","",L171+Settings!$B$7/24)</f>
        <v/>
      </c>
      <c r="O171" s="8" t="str">
        <f aca="false">IF(N171="","",N171+Settings!$B$6/24)</f>
        <v/>
      </c>
      <c r="P171" s="10" t="str">
        <f aca="false">IF(B171="","",IF(L171="","Never hit",IF(N171&lt;=Settings!$B$8,"READY","Cooldown")))</f>
        <v/>
      </c>
      <c r="Q171" s="11" t="str">
        <f aca="false">IF(P171="Cooldown",N171-Settings!$B$8,"")</f>
        <v/>
      </c>
      <c r="R171" s="12" t="str">
        <f aca="false">IF(B171="","",COUNTIF('Mug Log'!$B$5:$B$1004,B171))</f>
        <v/>
      </c>
      <c r="S171" s="9" t="str">
        <f aca="false">IF(B171="","",SUMIFS('Mug Log'!$D$5:$D$1004,'Mug Log'!$B$5:$B$1004,B171))</f>
        <v/>
      </c>
      <c r="T171" s="9" t="str">
        <f aca="false">IF(OR(B171="",R171=0),"",S171/R171)</f>
        <v/>
      </c>
      <c r="U171" s="4"/>
    </row>
    <row r="172" customFormat="false" ht="15" hidden="false" customHeight="false" outlineLevel="0" collapsed="false">
      <c r="A172" s="4"/>
      <c r="B172" s="5"/>
      <c r="C172" s="4"/>
      <c r="D172" s="6"/>
      <c r="E172" s="4"/>
      <c r="F172" s="4"/>
      <c r="G172" s="6"/>
      <c r="H172" s="4"/>
      <c r="I172" s="4"/>
      <c r="J172" s="7" t="str">
        <f aca="false">IF(B172="","",HYPERLINK("https://www.torn.com/profiles.php?XID="&amp;B172,"Profile"))</f>
        <v/>
      </c>
      <c r="K172" s="7" t="str">
        <f aca="false">IF(B172="","",HYPERLINK("https://www.torn.com/loader.php?sid=attack&amp;user2ID="&amp;B172,"Attack"))</f>
        <v/>
      </c>
      <c r="L172" s="8" t="str">
        <f aca="false">IF(B172="","",IF(COUNTIF('Mug Log'!$B$5:$B$1004,B172)=0,"",_xlfn.MAXIFS('Mug Log'!$A$5:$A$1004,'Mug Log'!$B$5:$B$1004,B172)))</f>
        <v/>
      </c>
      <c r="M172" s="9" t="str">
        <f aca="false">IF(L172="","",SUMIFS('Mug Log'!$D$5:$D$1004,'Mug Log'!$B$5:$B$1004,B172,'Mug Log'!$A$5:$A$1004,L172))</f>
        <v/>
      </c>
      <c r="N172" s="8" t="str">
        <f aca="false">IF(L172="","",L172+Settings!$B$7/24)</f>
        <v/>
      </c>
      <c r="O172" s="8" t="str">
        <f aca="false">IF(N172="","",N172+Settings!$B$6/24)</f>
        <v/>
      </c>
      <c r="P172" s="10" t="str">
        <f aca="false">IF(B172="","",IF(L172="","Never hit",IF(N172&lt;=Settings!$B$8,"READY","Cooldown")))</f>
        <v/>
      </c>
      <c r="Q172" s="11" t="str">
        <f aca="false">IF(P172="Cooldown",N172-Settings!$B$8,"")</f>
        <v/>
      </c>
      <c r="R172" s="12" t="str">
        <f aca="false">IF(B172="","",COUNTIF('Mug Log'!$B$5:$B$1004,B172))</f>
        <v/>
      </c>
      <c r="S172" s="9" t="str">
        <f aca="false">IF(B172="","",SUMIFS('Mug Log'!$D$5:$D$1004,'Mug Log'!$B$5:$B$1004,B172))</f>
        <v/>
      </c>
      <c r="T172" s="9" t="str">
        <f aca="false">IF(OR(B172="",R172=0),"",S172/R172)</f>
        <v/>
      </c>
      <c r="U172" s="4"/>
    </row>
    <row r="173" customFormat="false" ht="15" hidden="false" customHeight="false" outlineLevel="0" collapsed="false">
      <c r="A173" s="4"/>
      <c r="B173" s="5"/>
      <c r="C173" s="4"/>
      <c r="D173" s="6"/>
      <c r="E173" s="4"/>
      <c r="F173" s="4"/>
      <c r="G173" s="6"/>
      <c r="H173" s="4"/>
      <c r="I173" s="4"/>
      <c r="J173" s="7" t="str">
        <f aca="false">IF(B173="","",HYPERLINK("https://www.torn.com/profiles.php?XID="&amp;B173,"Profile"))</f>
        <v/>
      </c>
      <c r="K173" s="7" t="str">
        <f aca="false">IF(B173="","",HYPERLINK("https://www.torn.com/loader.php?sid=attack&amp;user2ID="&amp;B173,"Attack"))</f>
        <v/>
      </c>
      <c r="L173" s="8" t="str">
        <f aca="false">IF(B173="","",IF(COUNTIF('Mug Log'!$B$5:$B$1004,B173)=0,"",_xlfn.MAXIFS('Mug Log'!$A$5:$A$1004,'Mug Log'!$B$5:$B$1004,B173)))</f>
        <v/>
      </c>
      <c r="M173" s="9" t="str">
        <f aca="false">IF(L173="","",SUMIFS('Mug Log'!$D$5:$D$1004,'Mug Log'!$B$5:$B$1004,B173,'Mug Log'!$A$5:$A$1004,L173))</f>
        <v/>
      </c>
      <c r="N173" s="8" t="str">
        <f aca="false">IF(L173="","",L173+Settings!$B$7/24)</f>
        <v/>
      </c>
      <c r="O173" s="8" t="str">
        <f aca="false">IF(N173="","",N173+Settings!$B$6/24)</f>
        <v/>
      </c>
      <c r="P173" s="10" t="str">
        <f aca="false">IF(B173="","",IF(L173="","Never hit",IF(N173&lt;=Settings!$B$8,"READY","Cooldown")))</f>
        <v/>
      </c>
      <c r="Q173" s="11" t="str">
        <f aca="false">IF(P173="Cooldown",N173-Settings!$B$8,"")</f>
        <v/>
      </c>
      <c r="R173" s="12" t="str">
        <f aca="false">IF(B173="","",COUNTIF('Mug Log'!$B$5:$B$1004,B173))</f>
        <v/>
      </c>
      <c r="S173" s="9" t="str">
        <f aca="false">IF(B173="","",SUMIFS('Mug Log'!$D$5:$D$1004,'Mug Log'!$B$5:$B$1004,B173))</f>
        <v/>
      </c>
      <c r="T173" s="9" t="str">
        <f aca="false">IF(OR(B173="",R173=0),"",S173/R173)</f>
        <v/>
      </c>
      <c r="U173" s="4"/>
    </row>
    <row r="174" customFormat="false" ht="15" hidden="false" customHeight="false" outlineLevel="0" collapsed="false">
      <c r="A174" s="4"/>
      <c r="B174" s="5"/>
      <c r="C174" s="4"/>
      <c r="D174" s="6"/>
      <c r="E174" s="4"/>
      <c r="F174" s="4"/>
      <c r="G174" s="6"/>
      <c r="H174" s="4"/>
      <c r="I174" s="4"/>
      <c r="J174" s="7" t="str">
        <f aca="false">IF(B174="","",HYPERLINK("https://www.torn.com/profiles.php?XID="&amp;B174,"Profile"))</f>
        <v/>
      </c>
      <c r="K174" s="7" t="str">
        <f aca="false">IF(B174="","",HYPERLINK("https://www.torn.com/loader.php?sid=attack&amp;user2ID="&amp;B174,"Attack"))</f>
        <v/>
      </c>
      <c r="L174" s="8" t="str">
        <f aca="false">IF(B174="","",IF(COUNTIF('Mug Log'!$B$5:$B$1004,B174)=0,"",_xlfn.MAXIFS('Mug Log'!$A$5:$A$1004,'Mug Log'!$B$5:$B$1004,B174)))</f>
        <v/>
      </c>
      <c r="M174" s="9" t="str">
        <f aca="false">IF(L174="","",SUMIFS('Mug Log'!$D$5:$D$1004,'Mug Log'!$B$5:$B$1004,B174,'Mug Log'!$A$5:$A$1004,L174))</f>
        <v/>
      </c>
      <c r="N174" s="8" t="str">
        <f aca="false">IF(L174="","",L174+Settings!$B$7/24)</f>
        <v/>
      </c>
      <c r="O174" s="8" t="str">
        <f aca="false">IF(N174="","",N174+Settings!$B$6/24)</f>
        <v/>
      </c>
      <c r="P174" s="10" t="str">
        <f aca="false">IF(B174="","",IF(L174="","Never hit",IF(N174&lt;=Settings!$B$8,"READY","Cooldown")))</f>
        <v/>
      </c>
      <c r="Q174" s="11" t="str">
        <f aca="false">IF(P174="Cooldown",N174-Settings!$B$8,"")</f>
        <v/>
      </c>
      <c r="R174" s="12" t="str">
        <f aca="false">IF(B174="","",COUNTIF('Mug Log'!$B$5:$B$1004,B174))</f>
        <v/>
      </c>
      <c r="S174" s="9" t="str">
        <f aca="false">IF(B174="","",SUMIFS('Mug Log'!$D$5:$D$1004,'Mug Log'!$B$5:$B$1004,B174))</f>
        <v/>
      </c>
      <c r="T174" s="9" t="str">
        <f aca="false">IF(OR(B174="",R174=0),"",S174/R174)</f>
        <v/>
      </c>
      <c r="U174" s="4"/>
    </row>
    <row r="175" customFormat="false" ht="15" hidden="false" customHeight="false" outlineLevel="0" collapsed="false">
      <c r="A175" s="4"/>
      <c r="B175" s="5"/>
      <c r="C175" s="4"/>
      <c r="D175" s="6"/>
      <c r="E175" s="4"/>
      <c r="F175" s="4"/>
      <c r="G175" s="6"/>
      <c r="H175" s="4"/>
      <c r="I175" s="4"/>
      <c r="J175" s="7" t="str">
        <f aca="false">IF(B175="","",HYPERLINK("https://www.torn.com/profiles.php?XID="&amp;B175,"Profile"))</f>
        <v/>
      </c>
      <c r="K175" s="7" t="str">
        <f aca="false">IF(B175="","",HYPERLINK("https://www.torn.com/loader.php?sid=attack&amp;user2ID="&amp;B175,"Attack"))</f>
        <v/>
      </c>
      <c r="L175" s="8" t="str">
        <f aca="false">IF(B175="","",IF(COUNTIF('Mug Log'!$B$5:$B$1004,B175)=0,"",_xlfn.MAXIFS('Mug Log'!$A$5:$A$1004,'Mug Log'!$B$5:$B$1004,B175)))</f>
        <v/>
      </c>
      <c r="M175" s="9" t="str">
        <f aca="false">IF(L175="","",SUMIFS('Mug Log'!$D$5:$D$1004,'Mug Log'!$B$5:$B$1004,B175,'Mug Log'!$A$5:$A$1004,L175))</f>
        <v/>
      </c>
      <c r="N175" s="8" t="str">
        <f aca="false">IF(L175="","",L175+Settings!$B$7/24)</f>
        <v/>
      </c>
      <c r="O175" s="8" t="str">
        <f aca="false">IF(N175="","",N175+Settings!$B$6/24)</f>
        <v/>
      </c>
      <c r="P175" s="10" t="str">
        <f aca="false">IF(B175="","",IF(L175="","Never hit",IF(N175&lt;=Settings!$B$8,"READY","Cooldown")))</f>
        <v/>
      </c>
      <c r="Q175" s="11" t="str">
        <f aca="false">IF(P175="Cooldown",N175-Settings!$B$8,"")</f>
        <v/>
      </c>
      <c r="R175" s="12" t="str">
        <f aca="false">IF(B175="","",COUNTIF('Mug Log'!$B$5:$B$1004,B175))</f>
        <v/>
      </c>
      <c r="S175" s="9" t="str">
        <f aca="false">IF(B175="","",SUMIFS('Mug Log'!$D$5:$D$1004,'Mug Log'!$B$5:$B$1004,B175))</f>
        <v/>
      </c>
      <c r="T175" s="9" t="str">
        <f aca="false">IF(OR(B175="",R175=0),"",S175/R175)</f>
        <v/>
      </c>
      <c r="U175" s="4"/>
    </row>
    <row r="176" customFormat="false" ht="15" hidden="false" customHeight="false" outlineLevel="0" collapsed="false">
      <c r="A176" s="4"/>
      <c r="B176" s="5"/>
      <c r="C176" s="4"/>
      <c r="D176" s="6"/>
      <c r="E176" s="4"/>
      <c r="F176" s="4"/>
      <c r="G176" s="6"/>
      <c r="H176" s="4"/>
      <c r="I176" s="4"/>
      <c r="J176" s="7" t="str">
        <f aca="false">IF(B176="","",HYPERLINK("https://www.torn.com/profiles.php?XID="&amp;B176,"Profile"))</f>
        <v/>
      </c>
      <c r="K176" s="7" t="str">
        <f aca="false">IF(B176="","",HYPERLINK("https://www.torn.com/loader.php?sid=attack&amp;user2ID="&amp;B176,"Attack"))</f>
        <v/>
      </c>
      <c r="L176" s="8" t="str">
        <f aca="false">IF(B176="","",IF(COUNTIF('Mug Log'!$B$5:$B$1004,B176)=0,"",_xlfn.MAXIFS('Mug Log'!$A$5:$A$1004,'Mug Log'!$B$5:$B$1004,B176)))</f>
        <v/>
      </c>
      <c r="M176" s="9" t="str">
        <f aca="false">IF(L176="","",SUMIFS('Mug Log'!$D$5:$D$1004,'Mug Log'!$B$5:$B$1004,B176,'Mug Log'!$A$5:$A$1004,L176))</f>
        <v/>
      </c>
      <c r="N176" s="8" t="str">
        <f aca="false">IF(L176="","",L176+Settings!$B$7/24)</f>
        <v/>
      </c>
      <c r="O176" s="8" t="str">
        <f aca="false">IF(N176="","",N176+Settings!$B$6/24)</f>
        <v/>
      </c>
      <c r="P176" s="10" t="str">
        <f aca="false">IF(B176="","",IF(L176="","Never hit",IF(N176&lt;=Settings!$B$8,"READY","Cooldown")))</f>
        <v/>
      </c>
      <c r="Q176" s="11" t="str">
        <f aca="false">IF(P176="Cooldown",N176-Settings!$B$8,"")</f>
        <v/>
      </c>
      <c r="R176" s="12" t="str">
        <f aca="false">IF(B176="","",COUNTIF('Mug Log'!$B$5:$B$1004,B176))</f>
        <v/>
      </c>
      <c r="S176" s="9" t="str">
        <f aca="false">IF(B176="","",SUMIFS('Mug Log'!$D$5:$D$1004,'Mug Log'!$B$5:$B$1004,B176))</f>
        <v/>
      </c>
      <c r="T176" s="9" t="str">
        <f aca="false">IF(OR(B176="",R176=0),"",S176/R176)</f>
        <v/>
      </c>
      <c r="U176" s="4"/>
    </row>
    <row r="177" customFormat="false" ht="15" hidden="false" customHeight="false" outlineLevel="0" collapsed="false">
      <c r="A177" s="4"/>
      <c r="B177" s="5"/>
      <c r="C177" s="4"/>
      <c r="D177" s="6"/>
      <c r="E177" s="4"/>
      <c r="F177" s="4"/>
      <c r="G177" s="6"/>
      <c r="H177" s="4"/>
      <c r="I177" s="4"/>
      <c r="J177" s="7" t="str">
        <f aca="false">IF(B177="","",HYPERLINK("https://www.torn.com/profiles.php?XID="&amp;B177,"Profile"))</f>
        <v/>
      </c>
      <c r="K177" s="7" t="str">
        <f aca="false">IF(B177="","",HYPERLINK("https://www.torn.com/loader.php?sid=attack&amp;user2ID="&amp;B177,"Attack"))</f>
        <v/>
      </c>
      <c r="L177" s="8" t="str">
        <f aca="false">IF(B177="","",IF(COUNTIF('Mug Log'!$B$5:$B$1004,B177)=0,"",_xlfn.MAXIFS('Mug Log'!$A$5:$A$1004,'Mug Log'!$B$5:$B$1004,B177)))</f>
        <v/>
      </c>
      <c r="M177" s="9" t="str">
        <f aca="false">IF(L177="","",SUMIFS('Mug Log'!$D$5:$D$1004,'Mug Log'!$B$5:$B$1004,B177,'Mug Log'!$A$5:$A$1004,L177))</f>
        <v/>
      </c>
      <c r="N177" s="8" t="str">
        <f aca="false">IF(L177="","",L177+Settings!$B$7/24)</f>
        <v/>
      </c>
      <c r="O177" s="8" t="str">
        <f aca="false">IF(N177="","",N177+Settings!$B$6/24)</f>
        <v/>
      </c>
      <c r="P177" s="10" t="str">
        <f aca="false">IF(B177="","",IF(L177="","Never hit",IF(N177&lt;=Settings!$B$8,"READY","Cooldown")))</f>
        <v/>
      </c>
      <c r="Q177" s="11" t="str">
        <f aca="false">IF(P177="Cooldown",N177-Settings!$B$8,"")</f>
        <v/>
      </c>
      <c r="R177" s="12" t="str">
        <f aca="false">IF(B177="","",COUNTIF('Mug Log'!$B$5:$B$1004,B177))</f>
        <v/>
      </c>
      <c r="S177" s="9" t="str">
        <f aca="false">IF(B177="","",SUMIFS('Mug Log'!$D$5:$D$1004,'Mug Log'!$B$5:$B$1004,B177))</f>
        <v/>
      </c>
      <c r="T177" s="9" t="str">
        <f aca="false">IF(OR(B177="",R177=0),"",S177/R177)</f>
        <v/>
      </c>
      <c r="U177" s="4"/>
    </row>
    <row r="178" customFormat="false" ht="15" hidden="false" customHeight="false" outlineLevel="0" collapsed="false">
      <c r="A178" s="4"/>
      <c r="B178" s="5"/>
      <c r="C178" s="4"/>
      <c r="D178" s="6"/>
      <c r="E178" s="4"/>
      <c r="F178" s="4"/>
      <c r="G178" s="6"/>
      <c r="H178" s="4"/>
      <c r="I178" s="4"/>
      <c r="J178" s="7" t="str">
        <f aca="false">IF(B178="","",HYPERLINK("https://www.torn.com/profiles.php?XID="&amp;B178,"Profile"))</f>
        <v/>
      </c>
      <c r="K178" s="7" t="str">
        <f aca="false">IF(B178="","",HYPERLINK("https://www.torn.com/loader.php?sid=attack&amp;user2ID="&amp;B178,"Attack"))</f>
        <v/>
      </c>
      <c r="L178" s="8" t="str">
        <f aca="false">IF(B178="","",IF(COUNTIF('Mug Log'!$B$5:$B$1004,B178)=0,"",_xlfn.MAXIFS('Mug Log'!$A$5:$A$1004,'Mug Log'!$B$5:$B$1004,B178)))</f>
        <v/>
      </c>
      <c r="M178" s="9" t="str">
        <f aca="false">IF(L178="","",SUMIFS('Mug Log'!$D$5:$D$1004,'Mug Log'!$B$5:$B$1004,B178,'Mug Log'!$A$5:$A$1004,L178))</f>
        <v/>
      </c>
      <c r="N178" s="8" t="str">
        <f aca="false">IF(L178="","",L178+Settings!$B$7/24)</f>
        <v/>
      </c>
      <c r="O178" s="8" t="str">
        <f aca="false">IF(N178="","",N178+Settings!$B$6/24)</f>
        <v/>
      </c>
      <c r="P178" s="10" t="str">
        <f aca="false">IF(B178="","",IF(L178="","Never hit",IF(N178&lt;=Settings!$B$8,"READY","Cooldown")))</f>
        <v/>
      </c>
      <c r="Q178" s="11" t="str">
        <f aca="false">IF(P178="Cooldown",N178-Settings!$B$8,"")</f>
        <v/>
      </c>
      <c r="R178" s="12" t="str">
        <f aca="false">IF(B178="","",COUNTIF('Mug Log'!$B$5:$B$1004,B178))</f>
        <v/>
      </c>
      <c r="S178" s="9" t="str">
        <f aca="false">IF(B178="","",SUMIFS('Mug Log'!$D$5:$D$1004,'Mug Log'!$B$5:$B$1004,B178))</f>
        <v/>
      </c>
      <c r="T178" s="9" t="str">
        <f aca="false">IF(OR(B178="",R178=0),"",S178/R178)</f>
        <v/>
      </c>
      <c r="U178" s="4"/>
    </row>
    <row r="179" customFormat="false" ht="15" hidden="false" customHeight="false" outlineLevel="0" collapsed="false">
      <c r="A179" s="4"/>
      <c r="B179" s="5"/>
      <c r="C179" s="4"/>
      <c r="D179" s="6"/>
      <c r="E179" s="4"/>
      <c r="F179" s="4"/>
      <c r="G179" s="6"/>
      <c r="H179" s="4"/>
      <c r="I179" s="4"/>
      <c r="J179" s="7" t="str">
        <f aca="false">IF(B179="","",HYPERLINK("https://www.torn.com/profiles.php?XID="&amp;B179,"Profile"))</f>
        <v/>
      </c>
      <c r="K179" s="7" t="str">
        <f aca="false">IF(B179="","",HYPERLINK("https://www.torn.com/loader.php?sid=attack&amp;user2ID="&amp;B179,"Attack"))</f>
        <v/>
      </c>
      <c r="L179" s="8" t="str">
        <f aca="false">IF(B179="","",IF(COUNTIF('Mug Log'!$B$5:$B$1004,B179)=0,"",_xlfn.MAXIFS('Mug Log'!$A$5:$A$1004,'Mug Log'!$B$5:$B$1004,B179)))</f>
        <v/>
      </c>
      <c r="M179" s="9" t="str">
        <f aca="false">IF(L179="","",SUMIFS('Mug Log'!$D$5:$D$1004,'Mug Log'!$B$5:$B$1004,B179,'Mug Log'!$A$5:$A$1004,L179))</f>
        <v/>
      </c>
      <c r="N179" s="8" t="str">
        <f aca="false">IF(L179="","",L179+Settings!$B$7/24)</f>
        <v/>
      </c>
      <c r="O179" s="8" t="str">
        <f aca="false">IF(N179="","",N179+Settings!$B$6/24)</f>
        <v/>
      </c>
      <c r="P179" s="10" t="str">
        <f aca="false">IF(B179="","",IF(L179="","Never hit",IF(N179&lt;=Settings!$B$8,"READY","Cooldown")))</f>
        <v/>
      </c>
      <c r="Q179" s="11" t="str">
        <f aca="false">IF(P179="Cooldown",N179-Settings!$B$8,"")</f>
        <v/>
      </c>
      <c r="R179" s="12" t="str">
        <f aca="false">IF(B179="","",COUNTIF('Mug Log'!$B$5:$B$1004,B179))</f>
        <v/>
      </c>
      <c r="S179" s="9" t="str">
        <f aca="false">IF(B179="","",SUMIFS('Mug Log'!$D$5:$D$1004,'Mug Log'!$B$5:$B$1004,B179))</f>
        <v/>
      </c>
      <c r="T179" s="9" t="str">
        <f aca="false">IF(OR(B179="",R179=0),"",S179/R179)</f>
        <v/>
      </c>
      <c r="U179" s="4"/>
    </row>
    <row r="180" customFormat="false" ht="15" hidden="false" customHeight="false" outlineLevel="0" collapsed="false">
      <c r="A180" s="4"/>
      <c r="B180" s="5"/>
      <c r="C180" s="4"/>
      <c r="D180" s="6"/>
      <c r="E180" s="4"/>
      <c r="F180" s="4"/>
      <c r="G180" s="6"/>
      <c r="H180" s="4"/>
      <c r="I180" s="4"/>
      <c r="J180" s="7" t="str">
        <f aca="false">IF(B180="","",HYPERLINK("https://www.torn.com/profiles.php?XID="&amp;B180,"Profile"))</f>
        <v/>
      </c>
      <c r="K180" s="7" t="str">
        <f aca="false">IF(B180="","",HYPERLINK("https://www.torn.com/loader.php?sid=attack&amp;user2ID="&amp;B180,"Attack"))</f>
        <v/>
      </c>
      <c r="L180" s="8" t="str">
        <f aca="false">IF(B180="","",IF(COUNTIF('Mug Log'!$B$5:$B$1004,B180)=0,"",_xlfn.MAXIFS('Mug Log'!$A$5:$A$1004,'Mug Log'!$B$5:$B$1004,B180)))</f>
        <v/>
      </c>
      <c r="M180" s="9" t="str">
        <f aca="false">IF(L180="","",SUMIFS('Mug Log'!$D$5:$D$1004,'Mug Log'!$B$5:$B$1004,B180,'Mug Log'!$A$5:$A$1004,L180))</f>
        <v/>
      </c>
      <c r="N180" s="8" t="str">
        <f aca="false">IF(L180="","",L180+Settings!$B$7/24)</f>
        <v/>
      </c>
      <c r="O180" s="8" t="str">
        <f aca="false">IF(N180="","",N180+Settings!$B$6/24)</f>
        <v/>
      </c>
      <c r="P180" s="10" t="str">
        <f aca="false">IF(B180="","",IF(L180="","Never hit",IF(N180&lt;=Settings!$B$8,"READY","Cooldown")))</f>
        <v/>
      </c>
      <c r="Q180" s="11" t="str">
        <f aca="false">IF(P180="Cooldown",N180-Settings!$B$8,"")</f>
        <v/>
      </c>
      <c r="R180" s="12" t="str">
        <f aca="false">IF(B180="","",COUNTIF('Mug Log'!$B$5:$B$1004,B180))</f>
        <v/>
      </c>
      <c r="S180" s="9" t="str">
        <f aca="false">IF(B180="","",SUMIFS('Mug Log'!$D$5:$D$1004,'Mug Log'!$B$5:$B$1004,B180))</f>
        <v/>
      </c>
      <c r="T180" s="9" t="str">
        <f aca="false">IF(OR(B180="",R180=0),"",S180/R180)</f>
        <v/>
      </c>
      <c r="U180" s="4"/>
    </row>
    <row r="181" customFormat="false" ht="15" hidden="false" customHeight="false" outlineLevel="0" collapsed="false">
      <c r="A181" s="4"/>
      <c r="B181" s="5"/>
      <c r="C181" s="4"/>
      <c r="D181" s="6"/>
      <c r="E181" s="4"/>
      <c r="F181" s="4"/>
      <c r="G181" s="6"/>
      <c r="H181" s="4"/>
      <c r="I181" s="4"/>
      <c r="J181" s="7" t="str">
        <f aca="false">IF(B181="","",HYPERLINK("https://www.torn.com/profiles.php?XID="&amp;B181,"Profile"))</f>
        <v/>
      </c>
      <c r="K181" s="7" t="str">
        <f aca="false">IF(B181="","",HYPERLINK("https://www.torn.com/loader.php?sid=attack&amp;user2ID="&amp;B181,"Attack"))</f>
        <v/>
      </c>
      <c r="L181" s="8" t="str">
        <f aca="false">IF(B181="","",IF(COUNTIF('Mug Log'!$B$5:$B$1004,B181)=0,"",_xlfn.MAXIFS('Mug Log'!$A$5:$A$1004,'Mug Log'!$B$5:$B$1004,B181)))</f>
        <v/>
      </c>
      <c r="M181" s="9" t="str">
        <f aca="false">IF(L181="","",SUMIFS('Mug Log'!$D$5:$D$1004,'Mug Log'!$B$5:$B$1004,B181,'Mug Log'!$A$5:$A$1004,L181))</f>
        <v/>
      </c>
      <c r="N181" s="8" t="str">
        <f aca="false">IF(L181="","",L181+Settings!$B$7/24)</f>
        <v/>
      </c>
      <c r="O181" s="8" t="str">
        <f aca="false">IF(N181="","",N181+Settings!$B$6/24)</f>
        <v/>
      </c>
      <c r="P181" s="10" t="str">
        <f aca="false">IF(B181="","",IF(L181="","Never hit",IF(N181&lt;=Settings!$B$8,"READY","Cooldown")))</f>
        <v/>
      </c>
      <c r="Q181" s="11" t="str">
        <f aca="false">IF(P181="Cooldown",N181-Settings!$B$8,"")</f>
        <v/>
      </c>
      <c r="R181" s="12" t="str">
        <f aca="false">IF(B181="","",COUNTIF('Mug Log'!$B$5:$B$1004,B181))</f>
        <v/>
      </c>
      <c r="S181" s="9" t="str">
        <f aca="false">IF(B181="","",SUMIFS('Mug Log'!$D$5:$D$1004,'Mug Log'!$B$5:$B$1004,B181))</f>
        <v/>
      </c>
      <c r="T181" s="9" t="str">
        <f aca="false">IF(OR(B181="",R181=0),"",S181/R181)</f>
        <v/>
      </c>
      <c r="U181" s="4"/>
    </row>
    <row r="182" customFormat="false" ht="15" hidden="false" customHeight="false" outlineLevel="0" collapsed="false">
      <c r="A182" s="4"/>
      <c r="B182" s="5"/>
      <c r="C182" s="4"/>
      <c r="D182" s="6"/>
      <c r="E182" s="4"/>
      <c r="F182" s="4"/>
      <c r="G182" s="6"/>
      <c r="H182" s="4"/>
      <c r="I182" s="4"/>
      <c r="J182" s="7" t="str">
        <f aca="false">IF(B182="","",HYPERLINK("https://www.torn.com/profiles.php?XID="&amp;B182,"Profile"))</f>
        <v/>
      </c>
      <c r="K182" s="7" t="str">
        <f aca="false">IF(B182="","",HYPERLINK("https://www.torn.com/loader.php?sid=attack&amp;user2ID="&amp;B182,"Attack"))</f>
        <v/>
      </c>
      <c r="L182" s="8" t="str">
        <f aca="false">IF(B182="","",IF(COUNTIF('Mug Log'!$B$5:$B$1004,B182)=0,"",_xlfn.MAXIFS('Mug Log'!$A$5:$A$1004,'Mug Log'!$B$5:$B$1004,B182)))</f>
        <v/>
      </c>
      <c r="M182" s="9" t="str">
        <f aca="false">IF(L182="","",SUMIFS('Mug Log'!$D$5:$D$1004,'Mug Log'!$B$5:$B$1004,B182,'Mug Log'!$A$5:$A$1004,L182))</f>
        <v/>
      </c>
      <c r="N182" s="8" t="str">
        <f aca="false">IF(L182="","",L182+Settings!$B$7/24)</f>
        <v/>
      </c>
      <c r="O182" s="8" t="str">
        <f aca="false">IF(N182="","",N182+Settings!$B$6/24)</f>
        <v/>
      </c>
      <c r="P182" s="10" t="str">
        <f aca="false">IF(B182="","",IF(L182="","Never hit",IF(N182&lt;=Settings!$B$8,"READY","Cooldown")))</f>
        <v/>
      </c>
      <c r="Q182" s="11" t="str">
        <f aca="false">IF(P182="Cooldown",N182-Settings!$B$8,"")</f>
        <v/>
      </c>
      <c r="R182" s="12" t="str">
        <f aca="false">IF(B182="","",COUNTIF('Mug Log'!$B$5:$B$1004,B182))</f>
        <v/>
      </c>
      <c r="S182" s="9" t="str">
        <f aca="false">IF(B182="","",SUMIFS('Mug Log'!$D$5:$D$1004,'Mug Log'!$B$5:$B$1004,B182))</f>
        <v/>
      </c>
      <c r="T182" s="9" t="str">
        <f aca="false">IF(OR(B182="",R182=0),"",S182/R182)</f>
        <v/>
      </c>
      <c r="U182" s="4"/>
    </row>
    <row r="183" customFormat="false" ht="15" hidden="false" customHeight="false" outlineLevel="0" collapsed="false">
      <c r="A183" s="4"/>
      <c r="B183" s="5"/>
      <c r="C183" s="4"/>
      <c r="D183" s="6"/>
      <c r="E183" s="4"/>
      <c r="F183" s="4"/>
      <c r="G183" s="6"/>
      <c r="H183" s="4"/>
      <c r="I183" s="4"/>
      <c r="J183" s="7" t="str">
        <f aca="false">IF(B183="","",HYPERLINK("https://www.torn.com/profiles.php?XID="&amp;B183,"Profile"))</f>
        <v/>
      </c>
      <c r="K183" s="7" t="str">
        <f aca="false">IF(B183="","",HYPERLINK("https://www.torn.com/loader.php?sid=attack&amp;user2ID="&amp;B183,"Attack"))</f>
        <v/>
      </c>
      <c r="L183" s="8" t="str">
        <f aca="false">IF(B183="","",IF(COUNTIF('Mug Log'!$B$5:$B$1004,B183)=0,"",_xlfn.MAXIFS('Mug Log'!$A$5:$A$1004,'Mug Log'!$B$5:$B$1004,B183)))</f>
        <v/>
      </c>
      <c r="M183" s="9" t="str">
        <f aca="false">IF(L183="","",SUMIFS('Mug Log'!$D$5:$D$1004,'Mug Log'!$B$5:$B$1004,B183,'Mug Log'!$A$5:$A$1004,L183))</f>
        <v/>
      </c>
      <c r="N183" s="8" t="str">
        <f aca="false">IF(L183="","",L183+Settings!$B$7/24)</f>
        <v/>
      </c>
      <c r="O183" s="8" t="str">
        <f aca="false">IF(N183="","",N183+Settings!$B$6/24)</f>
        <v/>
      </c>
      <c r="P183" s="10" t="str">
        <f aca="false">IF(B183="","",IF(L183="","Never hit",IF(N183&lt;=Settings!$B$8,"READY","Cooldown")))</f>
        <v/>
      </c>
      <c r="Q183" s="11" t="str">
        <f aca="false">IF(P183="Cooldown",N183-Settings!$B$8,"")</f>
        <v/>
      </c>
      <c r="R183" s="12" t="str">
        <f aca="false">IF(B183="","",COUNTIF('Mug Log'!$B$5:$B$1004,B183))</f>
        <v/>
      </c>
      <c r="S183" s="9" t="str">
        <f aca="false">IF(B183="","",SUMIFS('Mug Log'!$D$5:$D$1004,'Mug Log'!$B$5:$B$1004,B183))</f>
        <v/>
      </c>
      <c r="T183" s="9" t="str">
        <f aca="false">IF(OR(B183="",R183=0),"",S183/R183)</f>
        <v/>
      </c>
      <c r="U183" s="4"/>
    </row>
    <row r="184" customFormat="false" ht="15" hidden="false" customHeight="false" outlineLevel="0" collapsed="false">
      <c r="A184" s="4"/>
      <c r="B184" s="5"/>
      <c r="C184" s="4"/>
      <c r="D184" s="6"/>
      <c r="E184" s="4"/>
      <c r="F184" s="4"/>
      <c r="G184" s="6"/>
      <c r="H184" s="4"/>
      <c r="I184" s="4"/>
      <c r="J184" s="7" t="str">
        <f aca="false">IF(B184="","",HYPERLINK("https://www.torn.com/profiles.php?XID="&amp;B184,"Profile"))</f>
        <v/>
      </c>
      <c r="K184" s="7" t="str">
        <f aca="false">IF(B184="","",HYPERLINK("https://www.torn.com/loader.php?sid=attack&amp;user2ID="&amp;B184,"Attack"))</f>
        <v/>
      </c>
      <c r="L184" s="8" t="str">
        <f aca="false">IF(B184="","",IF(COUNTIF('Mug Log'!$B$5:$B$1004,B184)=0,"",_xlfn.MAXIFS('Mug Log'!$A$5:$A$1004,'Mug Log'!$B$5:$B$1004,B184)))</f>
        <v/>
      </c>
      <c r="M184" s="9" t="str">
        <f aca="false">IF(L184="","",SUMIFS('Mug Log'!$D$5:$D$1004,'Mug Log'!$B$5:$B$1004,B184,'Mug Log'!$A$5:$A$1004,L184))</f>
        <v/>
      </c>
      <c r="N184" s="8" t="str">
        <f aca="false">IF(L184="","",L184+Settings!$B$7/24)</f>
        <v/>
      </c>
      <c r="O184" s="8" t="str">
        <f aca="false">IF(N184="","",N184+Settings!$B$6/24)</f>
        <v/>
      </c>
      <c r="P184" s="10" t="str">
        <f aca="false">IF(B184="","",IF(L184="","Never hit",IF(N184&lt;=Settings!$B$8,"READY","Cooldown")))</f>
        <v/>
      </c>
      <c r="Q184" s="11" t="str">
        <f aca="false">IF(P184="Cooldown",N184-Settings!$B$8,"")</f>
        <v/>
      </c>
      <c r="R184" s="12" t="str">
        <f aca="false">IF(B184="","",COUNTIF('Mug Log'!$B$5:$B$1004,B184))</f>
        <v/>
      </c>
      <c r="S184" s="9" t="str">
        <f aca="false">IF(B184="","",SUMIFS('Mug Log'!$D$5:$D$1004,'Mug Log'!$B$5:$B$1004,B184))</f>
        <v/>
      </c>
      <c r="T184" s="9" t="str">
        <f aca="false">IF(OR(B184="",R184=0),"",S184/R184)</f>
        <v/>
      </c>
      <c r="U184" s="4"/>
    </row>
    <row r="185" customFormat="false" ht="15" hidden="false" customHeight="false" outlineLevel="0" collapsed="false">
      <c r="A185" s="4"/>
      <c r="B185" s="5"/>
      <c r="C185" s="4"/>
      <c r="D185" s="6"/>
      <c r="E185" s="4"/>
      <c r="F185" s="4"/>
      <c r="G185" s="6"/>
      <c r="H185" s="4"/>
      <c r="I185" s="4"/>
      <c r="J185" s="7" t="str">
        <f aca="false">IF(B185="","",HYPERLINK("https://www.torn.com/profiles.php?XID="&amp;B185,"Profile"))</f>
        <v/>
      </c>
      <c r="K185" s="7" t="str">
        <f aca="false">IF(B185="","",HYPERLINK("https://www.torn.com/loader.php?sid=attack&amp;user2ID="&amp;B185,"Attack"))</f>
        <v/>
      </c>
      <c r="L185" s="8" t="str">
        <f aca="false">IF(B185="","",IF(COUNTIF('Mug Log'!$B$5:$B$1004,B185)=0,"",_xlfn.MAXIFS('Mug Log'!$A$5:$A$1004,'Mug Log'!$B$5:$B$1004,B185)))</f>
        <v/>
      </c>
      <c r="M185" s="9" t="str">
        <f aca="false">IF(L185="","",SUMIFS('Mug Log'!$D$5:$D$1004,'Mug Log'!$B$5:$B$1004,B185,'Mug Log'!$A$5:$A$1004,L185))</f>
        <v/>
      </c>
      <c r="N185" s="8" t="str">
        <f aca="false">IF(L185="","",L185+Settings!$B$7/24)</f>
        <v/>
      </c>
      <c r="O185" s="8" t="str">
        <f aca="false">IF(N185="","",N185+Settings!$B$6/24)</f>
        <v/>
      </c>
      <c r="P185" s="10" t="str">
        <f aca="false">IF(B185="","",IF(L185="","Never hit",IF(N185&lt;=Settings!$B$8,"READY","Cooldown")))</f>
        <v/>
      </c>
      <c r="Q185" s="11" t="str">
        <f aca="false">IF(P185="Cooldown",N185-Settings!$B$8,"")</f>
        <v/>
      </c>
      <c r="R185" s="12" t="str">
        <f aca="false">IF(B185="","",COUNTIF('Mug Log'!$B$5:$B$1004,B185))</f>
        <v/>
      </c>
      <c r="S185" s="9" t="str">
        <f aca="false">IF(B185="","",SUMIFS('Mug Log'!$D$5:$D$1004,'Mug Log'!$B$5:$B$1004,B185))</f>
        <v/>
      </c>
      <c r="T185" s="9" t="str">
        <f aca="false">IF(OR(B185="",R185=0),"",S185/R185)</f>
        <v/>
      </c>
      <c r="U185" s="4"/>
    </row>
    <row r="186" customFormat="false" ht="15" hidden="false" customHeight="false" outlineLevel="0" collapsed="false">
      <c r="A186" s="4"/>
      <c r="B186" s="5"/>
      <c r="C186" s="4"/>
      <c r="D186" s="6"/>
      <c r="E186" s="4"/>
      <c r="F186" s="4"/>
      <c r="G186" s="6"/>
      <c r="H186" s="4"/>
      <c r="I186" s="4"/>
      <c r="J186" s="7" t="str">
        <f aca="false">IF(B186="","",HYPERLINK("https://www.torn.com/profiles.php?XID="&amp;B186,"Profile"))</f>
        <v/>
      </c>
      <c r="K186" s="7" t="str">
        <f aca="false">IF(B186="","",HYPERLINK("https://www.torn.com/loader.php?sid=attack&amp;user2ID="&amp;B186,"Attack"))</f>
        <v/>
      </c>
      <c r="L186" s="8" t="str">
        <f aca="false">IF(B186="","",IF(COUNTIF('Mug Log'!$B$5:$B$1004,B186)=0,"",_xlfn.MAXIFS('Mug Log'!$A$5:$A$1004,'Mug Log'!$B$5:$B$1004,B186)))</f>
        <v/>
      </c>
      <c r="M186" s="9" t="str">
        <f aca="false">IF(L186="","",SUMIFS('Mug Log'!$D$5:$D$1004,'Mug Log'!$B$5:$B$1004,B186,'Mug Log'!$A$5:$A$1004,L186))</f>
        <v/>
      </c>
      <c r="N186" s="8" t="str">
        <f aca="false">IF(L186="","",L186+Settings!$B$7/24)</f>
        <v/>
      </c>
      <c r="O186" s="8" t="str">
        <f aca="false">IF(N186="","",N186+Settings!$B$6/24)</f>
        <v/>
      </c>
      <c r="P186" s="10" t="str">
        <f aca="false">IF(B186="","",IF(L186="","Never hit",IF(N186&lt;=Settings!$B$8,"READY","Cooldown")))</f>
        <v/>
      </c>
      <c r="Q186" s="11" t="str">
        <f aca="false">IF(P186="Cooldown",N186-Settings!$B$8,"")</f>
        <v/>
      </c>
      <c r="R186" s="12" t="str">
        <f aca="false">IF(B186="","",COUNTIF('Mug Log'!$B$5:$B$1004,B186))</f>
        <v/>
      </c>
      <c r="S186" s="9" t="str">
        <f aca="false">IF(B186="","",SUMIFS('Mug Log'!$D$5:$D$1004,'Mug Log'!$B$5:$B$1004,B186))</f>
        <v/>
      </c>
      <c r="T186" s="9" t="str">
        <f aca="false">IF(OR(B186="",R186=0),"",S186/R186)</f>
        <v/>
      </c>
      <c r="U186" s="4"/>
    </row>
    <row r="187" customFormat="false" ht="15" hidden="false" customHeight="false" outlineLevel="0" collapsed="false">
      <c r="A187" s="4"/>
      <c r="B187" s="5"/>
      <c r="C187" s="4"/>
      <c r="D187" s="6"/>
      <c r="E187" s="4"/>
      <c r="F187" s="4"/>
      <c r="G187" s="6"/>
      <c r="H187" s="4"/>
      <c r="I187" s="4"/>
      <c r="J187" s="7" t="str">
        <f aca="false">IF(B187="","",HYPERLINK("https://www.torn.com/profiles.php?XID="&amp;B187,"Profile"))</f>
        <v/>
      </c>
      <c r="K187" s="7" t="str">
        <f aca="false">IF(B187="","",HYPERLINK("https://www.torn.com/loader.php?sid=attack&amp;user2ID="&amp;B187,"Attack"))</f>
        <v/>
      </c>
      <c r="L187" s="8" t="str">
        <f aca="false">IF(B187="","",IF(COUNTIF('Mug Log'!$B$5:$B$1004,B187)=0,"",_xlfn.MAXIFS('Mug Log'!$A$5:$A$1004,'Mug Log'!$B$5:$B$1004,B187)))</f>
        <v/>
      </c>
      <c r="M187" s="9" t="str">
        <f aca="false">IF(L187="","",SUMIFS('Mug Log'!$D$5:$D$1004,'Mug Log'!$B$5:$B$1004,B187,'Mug Log'!$A$5:$A$1004,L187))</f>
        <v/>
      </c>
      <c r="N187" s="8" t="str">
        <f aca="false">IF(L187="","",L187+Settings!$B$7/24)</f>
        <v/>
      </c>
      <c r="O187" s="8" t="str">
        <f aca="false">IF(N187="","",N187+Settings!$B$6/24)</f>
        <v/>
      </c>
      <c r="P187" s="10" t="str">
        <f aca="false">IF(B187="","",IF(L187="","Never hit",IF(N187&lt;=Settings!$B$8,"READY","Cooldown")))</f>
        <v/>
      </c>
      <c r="Q187" s="11" t="str">
        <f aca="false">IF(P187="Cooldown",N187-Settings!$B$8,"")</f>
        <v/>
      </c>
      <c r="R187" s="12" t="str">
        <f aca="false">IF(B187="","",COUNTIF('Mug Log'!$B$5:$B$1004,B187))</f>
        <v/>
      </c>
      <c r="S187" s="9" t="str">
        <f aca="false">IF(B187="","",SUMIFS('Mug Log'!$D$5:$D$1004,'Mug Log'!$B$5:$B$1004,B187))</f>
        <v/>
      </c>
      <c r="T187" s="9" t="str">
        <f aca="false">IF(OR(B187="",R187=0),"",S187/R187)</f>
        <v/>
      </c>
      <c r="U187" s="4"/>
    </row>
    <row r="188" customFormat="false" ht="15" hidden="false" customHeight="false" outlineLevel="0" collapsed="false">
      <c r="A188" s="4"/>
      <c r="B188" s="5"/>
      <c r="C188" s="4"/>
      <c r="D188" s="6"/>
      <c r="E188" s="4"/>
      <c r="F188" s="4"/>
      <c r="G188" s="6"/>
      <c r="H188" s="4"/>
      <c r="I188" s="4"/>
      <c r="J188" s="7" t="str">
        <f aca="false">IF(B188="","",HYPERLINK("https://www.torn.com/profiles.php?XID="&amp;B188,"Profile"))</f>
        <v/>
      </c>
      <c r="K188" s="7" t="str">
        <f aca="false">IF(B188="","",HYPERLINK("https://www.torn.com/loader.php?sid=attack&amp;user2ID="&amp;B188,"Attack"))</f>
        <v/>
      </c>
      <c r="L188" s="8" t="str">
        <f aca="false">IF(B188="","",IF(COUNTIF('Mug Log'!$B$5:$B$1004,B188)=0,"",_xlfn.MAXIFS('Mug Log'!$A$5:$A$1004,'Mug Log'!$B$5:$B$1004,B188)))</f>
        <v/>
      </c>
      <c r="M188" s="9" t="str">
        <f aca="false">IF(L188="","",SUMIFS('Mug Log'!$D$5:$D$1004,'Mug Log'!$B$5:$B$1004,B188,'Mug Log'!$A$5:$A$1004,L188))</f>
        <v/>
      </c>
      <c r="N188" s="8" t="str">
        <f aca="false">IF(L188="","",L188+Settings!$B$7/24)</f>
        <v/>
      </c>
      <c r="O188" s="8" t="str">
        <f aca="false">IF(N188="","",N188+Settings!$B$6/24)</f>
        <v/>
      </c>
      <c r="P188" s="10" t="str">
        <f aca="false">IF(B188="","",IF(L188="","Never hit",IF(N188&lt;=Settings!$B$8,"READY","Cooldown")))</f>
        <v/>
      </c>
      <c r="Q188" s="11" t="str">
        <f aca="false">IF(P188="Cooldown",N188-Settings!$B$8,"")</f>
        <v/>
      </c>
      <c r="R188" s="12" t="str">
        <f aca="false">IF(B188="","",COUNTIF('Mug Log'!$B$5:$B$1004,B188))</f>
        <v/>
      </c>
      <c r="S188" s="9" t="str">
        <f aca="false">IF(B188="","",SUMIFS('Mug Log'!$D$5:$D$1004,'Mug Log'!$B$5:$B$1004,B188))</f>
        <v/>
      </c>
      <c r="T188" s="9" t="str">
        <f aca="false">IF(OR(B188="",R188=0),"",S188/R188)</f>
        <v/>
      </c>
      <c r="U188" s="4"/>
    </row>
    <row r="189" customFormat="false" ht="15" hidden="false" customHeight="false" outlineLevel="0" collapsed="false">
      <c r="A189" s="4"/>
      <c r="B189" s="5"/>
      <c r="C189" s="4"/>
      <c r="D189" s="6"/>
      <c r="E189" s="4"/>
      <c r="F189" s="4"/>
      <c r="G189" s="6"/>
      <c r="H189" s="4"/>
      <c r="I189" s="4"/>
      <c r="J189" s="7" t="str">
        <f aca="false">IF(B189="","",HYPERLINK("https://www.torn.com/profiles.php?XID="&amp;B189,"Profile"))</f>
        <v/>
      </c>
      <c r="K189" s="7" t="str">
        <f aca="false">IF(B189="","",HYPERLINK("https://www.torn.com/loader.php?sid=attack&amp;user2ID="&amp;B189,"Attack"))</f>
        <v/>
      </c>
      <c r="L189" s="8" t="str">
        <f aca="false">IF(B189="","",IF(COUNTIF('Mug Log'!$B$5:$B$1004,B189)=0,"",_xlfn.MAXIFS('Mug Log'!$A$5:$A$1004,'Mug Log'!$B$5:$B$1004,B189)))</f>
        <v/>
      </c>
      <c r="M189" s="9" t="str">
        <f aca="false">IF(L189="","",SUMIFS('Mug Log'!$D$5:$D$1004,'Mug Log'!$B$5:$B$1004,B189,'Mug Log'!$A$5:$A$1004,L189))</f>
        <v/>
      </c>
      <c r="N189" s="8" t="str">
        <f aca="false">IF(L189="","",L189+Settings!$B$7/24)</f>
        <v/>
      </c>
      <c r="O189" s="8" t="str">
        <f aca="false">IF(N189="","",N189+Settings!$B$6/24)</f>
        <v/>
      </c>
      <c r="P189" s="10" t="str">
        <f aca="false">IF(B189="","",IF(L189="","Never hit",IF(N189&lt;=Settings!$B$8,"READY","Cooldown")))</f>
        <v/>
      </c>
      <c r="Q189" s="11" t="str">
        <f aca="false">IF(P189="Cooldown",N189-Settings!$B$8,"")</f>
        <v/>
      </c>
      <c r="R189" s="12" t="str">
        <f aca="false">IF(B189="","",COUNTIF('Mug Log'!$B$5:$B$1004,B189))</f>
        <v/>
      </c>
      <c r="S189" s="9" t="str">
        <f aca="false">IF(B189="","",SUMIFS('Mug Log'!$D$5:$D$1004,'Mug Log'!$B$5:$B$1004,B189))</f>
        <v/>
      </c>
      <c r="T189" s="9" t="str">
        <f aca="false">IF(OR(B189="",R189=0),"",S189/R189)</f>
        <v/>
      </c>
      <c r="U189" s="4"/>
    </row>
    <row r="190" customFormat="false" ht="15" hidden="false" customHeight="false" outlineLevel="0" collapsed="false">
      <c r="A190" s="4"/>
      <c r="B190" s="5"/>
      <c r="C190" s="4"/>
      <c r="D190" s="6"/>
      <c r="E190" s="4"/>
      <c r="F190" s="4"/>
      <c r="G190" s="6"/>
      <c r="H190" s="4"/>
      <c r="I190" s="4"/>
      <c r="J190" s="7" t="str">
        <f aca="false">IF(B190="","",HYPERLINK("https://www.torn.com/profiles.php?XID="&amp;B190,"Profile"))</f>
        <v/>
      </c>
      <c r="K190" s="7" t="str">
        <f aca="false">IF(B190="","",HYPERLINK("https://www.torn.com/loader.php?sid=attack&amp;user2ID="&amp;B190,"Attack"))</f>
        <v/>
      </c>
      <c r="L190" s="8" t="str">
        <f aca="false">IF(B190="","",IF(COUNTIF('Mug Log'!$B$5:$B$1004,B190)=0,"",_xlfn.MAXIFS('Mug Log'!$A$5:$A$1004,'Mug Log'!$B$5:$B$1004,B190)))</f>
        <v/>
      </c>
      <c r="M190" s="9" t="str">
        <f aca="false">IF(L190="","",SUMIFS('Mug Log'!$D$5:$D$1004,'Mug Log'!$B$5:$B$1004,B190,'Mug Log'!$A$5:$A$1004,L190))</f>
        <v/>
      </c>
      <c r="N190" s="8" t="str">
        <f aca="false">IF(L190="","",L190+Settings!$B$7/24)</f>
        <v/>
      </c>
      <c r="O190" s="8" t="str">
        <f aca="false">IF(N190="","",N190+Settings!$B$6/24)</f>
        <v/>
      </c>
      <c r="P190" s="10" t="str">
        <f aca="false">IF(B190="","",IF(L190="","Never hit",IF(N190&lt;=Settings!$B$8,"READY","Cooldown")))</f>
        <v/>
      </c>
      <c r="Q190" s="11" t="str">
        <f aca="false">IF(P190="Cooldown",N190-Settings!$B$8,"")</f>
        <v/>
      </c>
      <c r="R190" s="12" t="str">
        <f aca="false">IF(B190="","",COUNTIF('Mug Log'!$B$5:$B$1004,B190))</f>
        <v/>
      </c>
      <c r="S190" s="9" t="str">
        <f aca="false">IF(B190="","",SUMIFS('Mug Log'!$D$5:$D$1004,'Mug Log'!$B$5:$B$1004,B190))</f>
        <v/>
      </c>
      <c r="T190" s="9" t="str">
        <f aca="false">IF(OR(B190="",R190=0),"",S190/R190)</f>
        <v/>
      </c>
      <c r="U190" s="4"/>
    </row>
    <row r="191" customFormat="false" ht="15" hidden="false" customHeight="false" outlineLevel="0" collapsed="false">
      <c r="A191" s="4"/>
      <c r="B191" s="5"/>
      <c r="C191" s="4"/>
      <c r="D191" s="6"/>
      <c r="E191" s="4"/>
      <c r="F191" s="4"/>
      <c r="G191" s="6"/>
      <c r="H191" s="4"/>
      <c r="I191" s="4"/>
      <c r="J191" s="7" t="str">
        <f aca="false">IF(B191="","",HYPERLINK("https://www.torn.com/profiles.php?XID="&amp;B191,"Profile"))</f>
        <v/>
      </c>
      <c r="K191" s="7" t="str">
        <f aca="false">IF(B191="","",HYPERLINK("https://www.torn.com/loader.php?sid=attack&amp;user2ID="&amp;B191,"Attack"))</f>
        <v/>
      </c>
      <c r="L191" s="8" t="str">
        <f aca="false">IF(B191="","",IF(COUNTIF('Mug Log'!$B$5:$B$1004,B191)=0,"",_xlfn.MAXIFS('Mug Log'!$A$5:$A$1004,'Mug Log'!$B$5:$B$1004,B191)))</f>
        <v/>
      </c>
      <c r="M191" s="9" t="str">
        <f aca="false">IF(L191="","",SUMIFS('Mug Log'!$D$5:$D$1004,'Mug Log'!$B$5:$B$1004,B191,'Mug Log'!$A$5:$A$1004,L191))</f>
        <v/>
      </c>
      <c r="N191" s="8" t="str">
        <f aca="false">IF(L191="","",L191+Settings!$B$7/24)</f>
        <v/>
      </c>
      <c r="O191" s="8" t="str">
        <f aca="false">IF(N191="","",N191+Settings!$B$6/24)</f>
        <v/>
      </c>
      <c r="P191" s="10" t="str">
        <f aca="false">IF(B191="","",IF(L191="","Never hit",IF(N191&lt;=Settings!$B$8,"READY","Cooldown")))</f>
        <v/>
      </c>
      <c r="Q191" s="11" t="str">
        <f aca="false">IF(P191="Cooldown",N191-Settings!$B$8,"")</f>
        <v/>
      </c>
      <c r="R191" s="12" t="str">
        <f aca="false">IF(B191="","",COUNTIF('Mug Log'!$B$5:$B$1004,B191))</f>
        <v/>
      </c>
      <c r="S191" s="9" t="str">
        <f aca="false">IF(B191="","",SUMIFS('Mug Log'!$D$5:$D$1004,'Mug Log'!$B$5:$B$1004,B191))</f>
        <v/>
      </c>
      <c r="T191" s="9" t="str">
        <f aca="false">IF(OR(B191="",R191=0),"",S191/R191)</f>
        <v/>
      </c>
      <c r="U191" s="4"/>
    </row>
    <row r="192" customFormat="false" ht="15" hidden="false" customHeight="false" outlineLevel="0" collapsed="false">
      <c r="A192" s="4"/>
      <c r="B192" s="5"/>
      <c r="C192" s="4"/>
      <c r="D192" s="6"/>
      <c r="E192" s="4"/>
      <c r="F192" s="4"/>
      <c r="G192" s="6"/>
      <c r="H192" s="4"/>
      <c r="I192" s="4"/>
      <c r="J192" s="7" t="str">
        <f aca="false">IF(B192="","",HYPERLINK("https://www.torn.com/profiles.php?XID="&amp;B192,"Profile"))</f>
        <v/>
      </c>
      <c r="K192" s="7" t="str">
        <f aca="false">IF(B192="","",HYPERLINK("https://www.torn.com/loader.php?sid=attack&amp;user2ID="&amp;B192,"Attack"))</f>
        <v/>
      </c>
      <c r="L192" s="8" t="str">
        <f aca="false">IF(B192="","",IF(COUNTIF('Mug Log'!$B$5:$B$1004,B192)=0,"",_xlfn.MAXIFS('Mug Log'!$A$5:$A$1004,'Mug Log'!$B$5:$B$1004,B192)))</f>
        <v/>
      </c>
      <c r="M192" s="9" t="str">
        <f aca="false">IF(L192="","",SUMIFS('Mug Log'!$D$5:$D$1004,'Mug Log'!$B$5:$B$1004,B192,'Mug Log'!$A$5:$A$1004,L192))</f>
        <v/>
      </c>
      <c r="N192" s="8" t="str">
        <f aca="false">IF(L192="","",L192+Settings!$B$7/24)</f>
        <v/>
      </c>
      <c r="O192" s="8" t="str">
        <f aca="false">IF(N192="","",N192+Settings!$B$6/24)</f>
        <v/>
      </c>
      <c r="P192" s="10" t="str">
        <f aca="false">IF(B192="","",IF(L192="","Never hit",IF(N192&lt;=Settings!$B$8,"READY","Cooldown")))</f>
        <v/>
      </c>
      <c r="Q192" s="11" t="str">
        <f aca="false">IF(P192="Cooldown",N192-Settings!$B$8,"")</f>
        <v/>
      </c>
      <c r="R192" s="12" t="str">
        <f aca="false">IF(B192="","",COUNTIF('Mug Log'!$B$5:$B$1004,B192))</f>
        <v/>
      </c>
      <c r="S192" s="9" t="str">
        <f aca="false">IF(B192="","",SUMIFS('Mug Log'!$D$5:$D$1004,'Mug Log'!$B$5:$B$1004,B192))</f>
        <v/>
      </c>
      <c r="T192" s="9" t="str">
        <f aca="false">IF(OR(B192="",R192=0),"",S192/R192)</f>
        <v/>
      </c>
      <c r="U192" s="4"/>
    </row>
    <row r="193" customFormat="false" ht="15" hidden="false" customHeight="false" outlineLevel="0" collapsed="false">
      <c r="A193" s="4"/>
      <c r="B193" s="5"/>
      <c r="C193" s="4"/>
      <c r="D193" s="6"/>
      <c r="E193" s="4"/>
      <c r="F193" s="4"/>
      <c r="G193" s="6"/>
      <c r="H193" s="4"/>
      <c r="I193" s="4"/>
      <c r="J193" s="7" t="str">
        <f aca="false">IF(B193="","",HYPERLINK("https://www.torn.com/profiles.php?XID="&amp;B193,"Profile"))</f>
        <v/>
      </c>
      <c r="K193" s="7" t="str">
        <f aca="false">IF(B193="","",HYPERLINK("https://www.torn.com/loader.php?sid=attack&amp;user2ID="&amp;B193,"Attack"))</f>
        <v/>
      </c>
      <c r="L193" s="8" t="str">
        <f aca="false">IF(B193="","",IF(COUNTIF('Mug Log'!$B$5:$B$1004,B193)=0,"",_xlfn.MAXIFS('Mug Log'!$A$5:$A$1004,'Mug Log'!$B$5:$B$1004,B193)))</f>
        <v/>
      </c>
      <c r="M193" s="9" t="str">
        <f aca="false">IF(L193="","",SUMIFS('Mug Log'!$D$5:$D$1004,'Mug Log'!$B$5:$B$1004,B193,'Mug Log'!$A$5:$A$1004,L193))</f>
        <v/>
      </c>
      <c r="N193" s="8" t="str">
        <f aca="false">IF(L193="","",L193+Settings!$B$7/24)</f>
        <v/>
      </c>
      <c r="O193" s="8" t="str">
        <f aca="false">IF(N193="","",N193+Settings!$B$6/24)</f>
        <v/>
      </c>
      <c r="P193" s="10" t="str">
        <f aca="false">IF(B193="","",IF(L193="","Never hit",IF(N193&lt;=Settings!$B$8,"READY","Cooldown")))</f>
        <v/>
      </c>
      <c r="Q193" s="11" t="str">
        <f aca="false">IF(P193="Cooldown",N193-Settings!$B$8,"")</f>
        <v/>
      </c>
      <c r="R193" s="12" t="str">
        <f aca="false">IF(B193="","",COUNTIF('Mug Log'!$B$5:$B$1004,B193))</f>
        <v/>
      </c>
      <c r="S193" s="9" t="str">
        <f aca="false">IF(B193="","",SUMIFS('Mug Log'!$D$5:$D$1004,'Mug Log'!$B$5:$B$1004,B193))</f>
        <v/>
      </c>
      <c r="T193" s="9" t="str">
        <f aca="false">IF(OR(B193="",R193=0),"",S193/R193)</f>
        <v/>
      </c>
      <c r="U193" s="4"/>
    </row>
    <row r="194" customFormat="false" ht="15" hidden="false" customHeight="false" outlineLevel="0" collapsed="false">
      <c r="A194" s="4"/>
      <c r="B194" s="5"/>
      <c r="C194" s="4"/>
      <c r="D194" s="6"/>
      <c r="E194" s="4"/>
      <c r="F194" s="4"/>
      <c r="G194" s="6"/>
      <c r="H194" s="4"/>
      <c r="I194" s="4"/>
      <c r="J194" s="7" t="str">
        <f aca="false">IF(B194="","",HYPERLINK("https://www.torn.com/profiles.php?XID="&amp;B194,"Profile"))</f>
        <v/>
      </c>
      <c r="K194" s="7" t="str">
        <f aca="false">IF(B194="","",HYPERLINK("https://www.torn.com/loader.php?sid=attack&amp;user2ID="&amp;B194,"Attack"))</f>
        <v/>
      </c>
      <c r="L194" s="8" t="str">
        <f aca="false">IF(B194="","",IF(COUNTIF('Mug Log'!$B$5:$B$1004,B194)=0,"",_xlfn.MAXIFS('Mug Log'!$A$5:$A$1004,'Mug Log'!$B$5:$B$1004,B194)))</f>
        <v/>
      </c>
      <c r="M194" s="9" t="str">
        <f aca="false">IF(L194="","",SUMIFS('Mug Log'!$D$5:$D$1004,'Mug Log'!$B$5:$B$1004,B194,'Mug Log'!$A$5:$A$1004,L194))</f>
        <v/>
      </c>
      <c r="N194" s="8" t="str">
        <f aca="false">IF(L194="","",L194+Settings!$B$7/24)</f>
        <v/>
      </c>
      <c r="O194" s="8" t="str">
        <f aca="false">IF(N194="","",N194+Settings!$B$6/24)</f>
        <v/>
      </c>
      <c r="P194" s="10" t="str">
        <f aca="false">IF(B194="","",IF(L194="","Never hit",IF(N194&lt;=Settings!$B$8,"READY","Cooldown")))</f>
        <v/>
      </c>
      <c r="Q194" s="11" t="str">
        <f aca="false">IF(P194="Cooldown",N194-Settings!$B$8,"")</f>
        <v/>
      </c>
      <c r="R194" s="12" t="str">
        <f aca="false">IF(B194="","",COUNTIF('Mug Log'!$B$5:$B$1004,B194))</f>
        <v/>
      </c>
      <c r="S194" s="9" t="str">
        <f aca="false">IF(B194="","",SUMIFS('Mug Log'!$D$5:$D$1004,'Mug Log'!$B$5:$B$1004,B194))</f>
        <v/>
      </c>
      <c r="T194" s="9" t="str">
        <f aca="false">IF(OR(B194="",R194=0),"",S194/R194)</f>
        <v/>
      </c>
      <c r="U194" s="4"/>
    </row>
    <row r="195" customFormat="false" ht="15" hidden="false" customHeight="false" outlineLevel="0" collapsed="false">
      <c r="A195" s="4"/>
      <c r="B195" s="5"/>
      <c r="C195" s="4"/>
      <c r="D195" s="6"/>
      <c r="E195" s="4"/>
      <c r="F195" s="4"/>
      <c r="G195" s="6"/>
      <c r="H195" s="4"/>
      <c r="I195" s="4"/>
      <c r="J195" s="7" t="str">
        <f aca="false">IF(B195="","",HYPERLINK("https://www.torn.com/profiles.php?XID="&amp;B195,"Profile"))</f>
        <v/>
      </c>
      <c r="K195" s="7" t="str">
        <f aca="false">IF(B195="","",HYPERLINK("https://www.torn.com/loader.php?sid=attack&amp;user2ID="&amp;B195,"Attack"))</f>
        <v/>
      </c>
      <c r="L195" s="8" t="str">
        <f aca="false">IF(B195="","",IF(COUNTIF('Mug Log'!$B$5:$B$1004,B195)=0,"",_xlfn.MAXIFS('Mug Log'!$A$5:$A$1004,'Mug Log'!$B$5:$B$1004,B195)))</f>
        <v/>
      </c>
      <c r="M195" s="9" t="str">
        <f aca="false">IF(L195="","",SUMIFS('Mug Log'!$D$5:$D$1004,'Mug Log'!$B$5:$B$1004,B195,'Mug Log'!$A$5:$A$1004,L195))</f>
        <v/>
      </c>
      <c r="N195" s="8" t="str">
        <f aca="false">IF(L195="","",L195+Settings!$B$7/24)</f>
        <v/>
      </c>
      <c r="O195" s="8" t="str">
        <f aca="false">IF(N195="","",N195+Settings!$B$6/24)</f>
        <v/>
      </c>
      <c r="P195" s="10" t="str">
        <f aca="false">IF(B195="","",IF(L195="","Never hit",IF(N195&lt;=Settings!$B$8,"READY","Cooldown")))</f>
        <v/>
      </c>
      <c r="Q195" s="11" t="str">
        <f aca="false">IF(P195="Cooldown",N195-Settings!$B$8,"")</f>
        <v/>
      </c>
      <c r="R195" s="12" t="str">
        <f aca="false">IF(B195="","",COUNTIF('Mug Log'!$B$5:$B$1004,B195))</f>
        <v/>
      </c>
      <c r="S195" s="9" t="str">
        <f aca="false">IF(B195="","",SUMIFS('Mug Log'!$D$5:$D$1004,'Mug Log'!$B$5:$B$1004,B195))</f>
        <v/>
      </c>
      <c r="T195" s="9" t="str">
        <f aca="false">IF(OR(B195="",R195=0),"",S195/R195)</f>
        <v/>
      </c>
      <c r="U195" s="4"/>
    </row>
    <row r="196" customFormat="false" ht="15" hidden="false" customHeight="false" outlineLevel="0" collapsed="false">
      <c r="A196" s="4"/>
      <c r="B196" s="5"/>
      <c r="C196" s="4"/>
      <c r="D196" s="6"/>
      <c r="E196" s="4"/>
      <c r="F196" s="4"/>
      <c r="G196" s="6"/>
      <c r="H196" s="4"/>
      <c r="I196" s="4"/>
      <c r="J196" s="7" t="str">
        <f aca="false">IF(B196="","",HYPERLINK("https://www.torn.com/profiles.php?XID="&amp;B196,"Profile"))</f>
        <v/>
      </c>
      <c r="K196" s="7" t="str">
        <f aca="false">IF(B196="","",HYPERLINK("https://www.torn.com/loader.php?sid=attack&amp;user2ID="&amp;B196,"Attack"))</f>
        <v/>
      </c>
      <c r="L196" s="8" t="str">
        <f aca="false">IF(B196="","",IF(COUNTIF('Mug Log'!$B$5:$B$1004,B196)=0,"",_xlfn.MAXIFS('Mug Log'!$A$5:$A$1004,'Mug Log'!$B$5:$B$1004,B196)))</f>
        <v/>
      </c>
      <c r="M196" s="9" t="str">
        <f aca="false">IF(L196="","",SUMIFS('Mug Log'!$D$5:$D$1004,'Mug Log'!$B$5:$B$1004,B196,'Mug Log'!$A$5:$A$1004,L196))</f>
        <v/>
      </c>
      <c r="N196" s="8" t="str">
        <f aca="false">IF(L196="","",L196+Settings!$B$7/24)</f>
        <v/>
      </c>
      <c r="O196" s="8" t="str">
        <f aca="false">IF(N196="","",N196+Settings!$B$6/24)</f>
        <v/>
      </c>
      <c r="P196" s="10" t="str">
        <f aca="false">IF(B196="","",IF(L196="","Never hit",IF(N196&lt;=Settings!$B$8,"READY","Cooldown")))</f>
        <v/>
      </c>
      <c r="Q196" s="11" t="str">
        <f aca="false">IF(P196="Cooldown",N196-Settings!$B$8,"")</f>
        <v/>
      </c>
      <c r="R196" s="12" t="str">
        <f aca="false">IF(B196="","",COUNTIF('Mug Log'!$B$5:$B$1004,B196))</f>
        <v/>
      </c>
      <c r="S196" s="9" t="str">
        <f aca="false">IF(B196="","",SUMIFS('Mug Log'!$D$5:$D$1004,'Mug Log'!$B$5:$B$1004,B196))</f>
        <v/>
      </c>
      <c r="T196" s="9" t="str">
        <f aca="false">IF(OR(B196="",R196=0),"",S196/R196)</f>
        <v/>
      </c>
      <c r="U196" s="4"/>
    </row>
    <row r="197" customFormat="false" ht="15" hidden="false" customHeight="false" outlineLevel="0" collapsed="false">
      <c r="A197" s="4"/>
      <c r="B197" s="5"/>
      <c r="C197" s="4"/>
      <c r="D197" s="6"/>
      <c r="E197" s="4"/>
      <c r="F197" s="4"/>
      <c r="G197" s="6"/>
      <c r="H197" s="4"/>
      <c r="I197" s="4"/>
      <c r="J197" s="7" t="str">
        <f aca="false">IF(B197="","",HYPERLINK("https://www.torn.com/profiles.php?XID="&amp;B197,"Profile"))</f>
        <v/>
      </c>
      <c r="K197" s="7" t="str">
        <f aca="false">IF(B197="","",HYPERLINK("https://www.torn.com/loader.php?sid=attack&amp;user2ID="&amp;B197,"Attack"))</f>
        <v/>
      </c>
      <c r="L197" s="8" t="str">
        <f aca="false">IF(B197="","",IF(COUNTIF('Mug Log'!$B$5:$B$1004,B197)=0,"",_xlfn.MAXIFS('Mug Log'!$A$5:$A$1004,'Mug Log'!$B$5:$B$1004,B197)))</f>
        <v/>
      </c>
      <c r="M197" s="9" t="str">
        <f aca="false">IF(L197="","",SUMIFS('Mug Log'!$D$5:$D$1004,'Mug Log'!$B$5:$B$1004,B197,'Mug Log'!$A$5:$A$1004,L197))</f>
        <v/>
      </c>
      <c r="N197" s="8" t="str">
        <f aca="false">IF(L197="","",L197+Settings!$B$7/24)</f>
        <v/>
      </c>
      <c r="O197" s="8" t="str">
        <f aca="false">IF(N197="","",N197+Settings!$B$6/24)</f>
        <v/>
      </c>
      <c r="P197" s="10" t="str">
        <f aca="false">IF(B197="","",IF(L197="","Never hit",IF(N197&lt;=Settings!$B$8,"READY","Cooldown")))</f>
        <v/>
      </c>
      <c r="Q197" s="11" t="str">
        <f aca="false">IF(P197="Cooldown",N197-Settings!$B$8,"")</f>
        <v/>
      </c>
      <c r="R197" s="12" t="str">
        <f aca="false">IF(B197="","",COUNTIF('Mug Log'!$B$5:$B$1004,B197))</f>
        <v/>
      </c>
      <c r="S197" s="9" t="str">
        <f aca="false">IF(B197="","",SUMIFS('Mug Log'!$D$5:$D$1004,'Mug Log'!$B$5:$B$1004,B197))</f>
        <v/>
      </c>
      <c r="T197" s="9" t="str">
        <f aca="false">IF(OR(B197="",R197=0),"",S197/R197)</f>
        <v/>
      </c>
      <c r="U197" s="4"/>
    </row>
    <row r="198" customFormat="false" ht="15" hidden="false" customHeight="false" outlineLevel="0" collapsed="false">
      <c r="A198" s="4"/>
      <c r="B198" s="5"/>
      <c r="C198" s="4"/>
      <c r="D198" s="6"/>
      <c r="E198" s="4"/>
      <c r="F198" s="4"/>
      <c r="G198" s="6"/>
      <c r="H198" s="4"/>
      <c r="I198" s="4"/>
      <c r="J198" s="7" t="str">
        <f aca="false">IF(B198="","",HYPERLINK("https://www.torn.com/profiles.php?XID="&amp;B198,"Profile"))</f>
        <v/>
      </c>
      <c r="K198" s="7" t="str">
        <f aca="false">IF(B198="","",HYPERLINK("https://www.torn.com/loader.php?sid=attack&amp;user2ID="&amp;B198,"Attack"))</f>
        <v/>
      </c>
      <c r="L198" s="8" t="str">
        <f aca="false">IF(B198="","",IF(COUNTIF('Mug Log'!$B$5:$B$1004,B198)=0,"",_xlfn.MAXIFS('Mug Log'!$A$5:$A$1004,'Mug Log'!$B$5:$B$1004,B198)))</f>
        <v/>
      </c>
      <c r="M198" s="9" t="str">
        <f aca="false">IF(L198="","",SUMIFS('Mug Log'!$D$5:$D$1004,'Mug Log'!$B$5:$B$1004,B198,'Mug Log'!$A$5:$A$1004,L198))</f>
        <v/>
      </c>
      <c r="N198" s="8" t="str">
        <f aca="false">IF(L198="","",L198+Settings!$B$7/24)</f>
        <v/>
      </c>
      <c r="O198" s="8" t="str">
        <f aca="false">IF(N198="","",N198+Settings!$B$6/24)</f>
        <v/>
      </c>
      <c r="P198" s="10" t="str">
        <f aca="false">IF(B198="","",IF(L198="","Never hit",IF(N198&lt;=Settings!$B$8,"READY","Cooldown")))</f>
        <v/>
      </c>
      <c r="Q198" s="11" t="str">
        <f aca="false">IF(P198="Cooldown",N198-Settings!$B$8,"")</f>
        <v/>
      </c>
      <c r="R198" s="12" t="str">
        <f aca="false">IF(B198="","",COUNTIF('Mug Log'!$B$5:$B$1004,B198))</f>
        <v/>
      </c>
      <c r="S198" s="9" t="str">
        <f aca="false">IF(B198="","",SUMIFS('Mug Log'!$D$5:$D$1004,'Mug Log'!$B$5:$B$1004,B198))</f>
        <v/>
      </c>
      <c r="T198" s="9" t="str">
        <f aca="false">IF(OR(B198="",R198=0),"",S198/R198)</f>
        <v/>
      </c>
      <c r="U198" s="4"/>
    </row>
    <row r="199" customFormat="false" ht="15" hidden="false" customHeight="false" outlineLevel="0" collapsed="false">
      <c r="A199" s="4"/>
      <c r="B199" s="5"/>
      <c r="C199" s="4"/>
      <c r="D199" s="6"/>
      <c r="E199" s="4"/>
      <c r="F199" s="4"/>
      <c r="G199" s="6"/>
      <c r="H199" s="4"/>
      <c r="I199" s="4"/>
      <c r="J199" s="7" t="str">
        <f aca="false">IF(B199="","",HYPERLINK("https://www.torn.com/profiles.php?XID="&amp;B199,"Profile"))</f>
        <v/>
      </c>
      <c r="K199" s="7" t="str">
        <f aca="false">IF(B199="","",HYPERLINK("https://www.torn.com/loader.php?sid=attack&amp;user2ID="&amp;B199,"Attack"))</f>
        <v/>
      </c>
      <c r="L199" s="8" t="str">
        <f aca="false">IF(B199="","",IF(COUNTIF('Mug Log'!$B$5:$B$1004,B199)=0,"",_xlfn.MAXIFS('Mug Log'!$A$5:$A$1004,'Mug Log'!$B$5:$B$1004,B199)))</f>
        <v/>
      </c>
      <c r="M199" s="9" t="str">
        <f aca="false">IF(L199="","",SUMIFS('Mug Log'!$D$5:$D$1004,'Mug Log'!$B$5:$B$1004,B199,'Mug Log'!$A$5:$A$1004,L199))</f>
        <v/>
      </c>
      <c r="N199" s="8" t="str">
        <f aca="false">IF(L199="","",L199+Settings!$B$7/24)</f>
        <v/>
      </c>
      <c r="O199" s="8" t="str">
        <f aca="false">IF(N199="","",N199+Settings!$B$6/24)</f>
        <v/>
      </c>
      <c r="P199" s="10" t="str">
        <f aca="false">IF(B199="","",IF(L199="","Never hit",IF(N199&lt;=Settings!$B$8,"READY","Cooldown")))</f>
        <v/>
      </c>
      <c r="Q199" s="11" t="str">
        <f aca="false">IF(P199="Cooldown",N199-Settings!$B$8,"")</f>
        <v/>
      </c>
      <c r="R199" s="12" t="str">
        <f aca="false">IF(B199="","",COUNTIF('Mug Log'!$B$5:$B$1004,B199))</f>
        <v/>
      </c>
      <c r="S199" s="9" t="str">
        <f aca="false">IF(B199="","",SUMIFS('Mug Log'!$D$5:$D$1004,'Mug Log'!$B$5:$B$1004,B199))</f>
        <v/>
      </c>
      <c r="T199" s="9" t="str">
        <f aca="false">IF(OR(B199="",R199=0),"",S199/R199)</f>
        <v/>
      </c>
      <c r="U199" s="4"/>
    </row>
    <row r="200" customFormat="false" ht="15" hidden="false" customHeight="false" outlineLevel="0" collapsed="false">
      <c r="A200" s="4"/>
      <c r="B200" s="5"/>
      <c r="C200" s="4"/>
      <c r="D200" s="6"/>
      <c r="E200" s="4"/>
      <c r="F200" s="4"/>
      <c r="G200" s="6"/>
      <c r="H200" s="4"/>
      <c r="I200" s="4"/>
      <c r="J200" s="7" t="str">
        <f aca="false">IF(B200="","",HYPERLINK("https://www.torn.com/profiles.php?XID="&amp;B200,"Profile"))</f>
        <v/>
      </c>
      <c r="K200" s="7" t="str">
        <f aca="false">IF(B200="","",HYPERLINK("https://www.torn.com/loader.php?sid=attack&amp;user2ID="&amp;B200,"Attack"))</f>
        <v/>
      </c>
      <c r="L200" s="8" t="str">
        <f aca="false">IF(B200="","",IF(COUNTIF('Mug Log'!$B$5:$B$1004,B200)=0,"",_xlfn.MAXIFS('Mug Log'!$A$5:$A$1004,'Mug Log'!$B$5:$B$1004,B200)))</f>
        <v/>
      </c>
      <c r="M200" s="9" t="str">
        <f aca="false">IF(L200="","",SUMIFS('Mug Log'!$D$5:$D$1004,'Mug Log'!$B$5:$B$1004,B200,'Mug Log'!$A$5:$A$1004,L200))</f>
        <v/>
      </c>
      <c r="N200" s="8" t="str">
        <f aca="false">IF(L200="","",L200+Settings!$B$7/24)</f>
        <v/>
      </c>
      <c r="O200" s="8" t="str">
        <f aca="false">IF(N200="","",N200+Settings!$B$6/24)</f>
        <v/>
      </c>
      <c r="P200" s="10" t="str">
        <f aca="false">IF(B200="","",IF(L200="","Never hit",IF(N200&lt;=Settings!$B$8,"READY","Cooldown")))</f>
        <v/>
      </c>
      <c r="Q200" s="11" t="str">
        <f aca="false">IF(P200="Cooldown",N200-Settings!$B$8,"")</f>
        <v/>
      </c>
      <c r="R200" s="12" t="str">
        <f aca="false">IF(B200="","",COUNTIF('Mug Log'!$B$5:$B$1004,B200))</f>
        <v/>
      </c>
      <c r="S200" s="9" t="str">
        <f aca="false">IF(B200="","",SUMIFS('Mug Log'!$D$5:$D$1004,'Mug Log'!$B$5:$B$1004,B200))</f>
        <v/>
      </c>
      <c r="T200" s="9" t="str">
        <f aca="false">IF(OR(B200="",R200=0),"",S200/R200)</f>
        <v/>
      </c>
      <c r="U200" s="4"/>
    </row>
    <row r="201" customFormat="false" ht="15" hidden="false" customHeight="false" outlineLevel="0" collapsed="false">
      <c r="A201" s="4"/>
      <c r="B201" s="5"/>
      <c r="C201" s="4"/>
      <c r="D201" s="6"/>
      <c r="E201" s="4"/>
      <c r="F201" s="4"/>
      <c r="G201" s="6"/>
      <c r="H201" s="4"/>
      <c r="I201" s="4"/>
      <c r="J201" s="7" t="str">
        <f aca="false">IF(B201="","",HYPERLINK("https://www.torn.com/profiles.php?XID="&amp;B201,"Profile"))</f>
        <v/>
      </c>
      <c r="K201" s="7" t="str">
        <f aca="false">IF(B201="","",HYPERLINK("https://www.torn.com/loader.php?sid=attack&amp;user2ID="&amp;B201,"Attack"))</f>
        <v/>
      </c>
      <c r="L201" s="8" t="str">
        <f aca="false">IF(B201="","",IF(COUNTIF('Mug Log'!$B$5:$B$1004,B201)=0,"",_xlfn.MAXIFS('Mug Log'!$A$5:$A$1004,'Mug Log'!$B$5:$B$1004,B201)))</f>
        <v/>
      </c>
      <c r="M201" s="9" t="str">
        <f aca="false">IF(L201="","",SUMIFS('Mug Log'!$D$5:$D$1004,'Mug Log'!$B$5:$B$1004,B201,'Mug Log'!$A$5:$A$1004,L201))</f>
        <v/>
      </c>
      <c r="N201" s="8" t="str">
        <f aca="false">IF(L201="","",L201+Settings!$B$7/24)</f>
        <v/>
      </c>
      <c r="O201" s="8" t="str">
        <f aca="false">IF(N201="","",N201+Settings!$B$6/24)</f>
        <v/>
      </c>
      <c r="P201" s="10" t="str">
        <f aca="false">IF(B201="","",IF(L201="","Never hit",IF(N201&lt;=Settings!$B$8,"READY","Cooldown")))</f>
        <v/>
      </c>
      <c r="Q201" s="11" t="str">
        <f aca="false">IF(P201="Cooldown",N201-Settings!$B$8,"")</f>
        <v/>
      </c>
      <c r="R201" s="12" t="str">
        <f aca="false">IF(B201="","",COUNTIF('Mug Log'!$B$5:$B$1004,B201))</f>
        <v/>
      </c>
      <c r="S201" s="9" t="str">
        <f aca="false">IF(B201="","",SUMIFS('Mug Log'!$D$5:$D$1004,'Mug Log'!$B$5:$B$1004,B201))</f>
        <v/>
      </c>
      <c r="T201" s="9" t="str">
        <f aca="false">IF(OR(B201="",R201=0),"",S201/R201)</f>
        <v/>
      </c>
      <c r="U201" s="4"/>
    </row>
    <row r="202" customFormat="false" ht="15" hidden="false" customHeight="false" outlineLevel="0" collapsed="false">
      <c r="A202" s="4"/>
      <c r="B202" s="5"/>
      <c r="C202" s="4"/>
      <c r="D202" s="6"/>
      <c r="E202" s="4"/>
      <c r="F202" s="4"/>
      <c r="G202" s="6"/>
      <c r="H202" s="4"/>
      <c r="I202" s="4"/>
      <c r="J202" s="7" t="str">
        <f aca="false">IF(B202="","",HYPERLINK("https://www.torn.com/profiles.php?XID="&amp;B202,"Profile"))</f>
        <v/>
      </c>
      <c r="K202" s="7" t="str">
        <f aca="false">IF(B202="","",HYPERLINK("https://www.torn.com/loader.php?sid=attack&amp;user2ID="&amp;B202,"Attack"))</f>
        <v/>
      </c>
      <c r="L202" s="8" t="str">
        <f aca="false">IF(B202="","",IF(COUNTIF('Mug Log'!$B$5:$B$1004,B202)=0,"",_xlfn.MAXIFS('Mug Log'!$A$5:$A$1004,'Mug Log'!$B$5:$B$1004,B202)))</f>
        <v/>
      </c>
      <c r="M202" s="9" t="str">
        <f aca="false">IF(L202="","",SUMIFS('Mug Log'!$D$5:$D$1004,'Mug Log'!$B$5:$B$1004,B202,'Mug Log'!$A$5:$A$1004,L202))</f>
        <v/>
      </c>
      <c r="N202" s="8" t="str">
        <f aca="false">IF(L202="","",L202+Settings!$B$7/24)</f>
        <v/>
      </c>
      <c r="O202" s="8" t="str">
        <f aca="false">IF(N202="","",N202+Settings!$B$6/24)</f>
        <v/>
      </c>
      <c r="P202" s="10" t="str">
        <f aca="false">IF(B202="","",IF(L202="","Never hit",IF(N202&lt;=Settings!$B$8,"READY","Cooldown")))</f>
        <v/>
      </c>
      <c r="Q202" s="11" t="str">
        <f aca="false">IF(P202="Cooldown",N202-Settings!$B$8,"")</f>
        <v/>
      </c>
      <c r="R202" s="12" t="str">
        <f aca="false">IF(B202="","",COUNTIF('Mug Log'!$B$5:$B$1004,B202))</f>
        <v/>
      </c>
      <c r="S202" s="9" t="str">
        <f aca="false">IF(B202="","",SUMIFS('Mug Log'!$D$5:$D$1004,'Mug Log'!$B$5:$B$1004,B202))</f>
        <v/>
      </c>
      <c r="T202" s="9" t="str">
        <f aca="false">IF(OR(B202="",R202=0),"",S202/R202)</f>
        <v/>
      </c>
      <c r="U202" s="4"/>
    </row>
    <row r="203" customFormat="false" ht="15" hidden="false" customHeight="false" outlineLevel="0" collapsed="false">
      <c r="A203" s="4"/>
      <c r="B203" s="5"/>
      <c r="C203" s="4"/>
      <c r="D203" s="6"/>
      <c r="E203" s="4"/>
      <c r="F203" s="4"/>
      <c r="G203" s="6"/>
      <c r="H203" s="4"/>
      <c r="I203" s="4"/>
      <c r="J203" s="7" t="str">
        <f aca="false">IF(B203="","",HYPERLINK("https://www.torn.com/profiles.php?XID="&amp;B203,"Profile"))</f>
        <v/>
      </c>
      <c r="K203" s="7" t="str">
        <f aca="false">IF(B203="","",HYPERLINK("https://www.torn.com/loader.php?sid=attack&amp;user2ID="&amp;B203,"Attack"))</f>
        <v/>
      </c>
      <c r="L203" s="8" t="str">
        <f aca="false">IF(B203="","",IF(COUNTIF('Mug Log'!$B$5:$B$1004,B203)=0,"",_xlfn.MAXIFS('Mug Log'!$A$5:$A$1004,'Mug Log'!$B$5:$B$1004,B203)))</f>
        <v/>
      </c>
      <c r="M203" s="9" t="str">
        <f aca="false">IF(L203="","",SUMIFS('Mug Log'!$D$5:$D$1004,'Mug Log'!$B$5:$B$1004,B203,'Mug Log'!$A$5:$A$1004,L203))</f>
        <v/>
      </c>
      <c r="N203" s="8" t="str">
        <f aca="false">IF(L203="","",L203+Settings!$B$7/24)</f>
        <v/>
      </c>
      <c r="O203" s="8" t="str">
        <f aca="false">IF(N203="","",N203+Settings!$B$6/24)</f>
        <v/>
      </c>
      <c r="P203" s="10" t="str">
        <f aca="false">IF(B203="","",IF(L203="","Never hit",IF(N203&lt;=Settings!$B$8,"READY","Cooldown")))</f>
        <v/>
      </c>
      <c r="Q203" s="11" t="str">
        <f aca="false">IF(P203="Cooldown",N203-Settings!$B$8,"")</f>
        <v/>
      </c>
      <c r="R203" s="12" t="str">
        <f aca="false">IF(B203="","",COUNTIF('Mug Log'!$B$5:$B$1004,B203))</f>
        <v/>
      </c>
      <c r="S203" s="9" t="str">
        <f aca="false">IF(B203="","",SUMIFS('Mug Log'!$D$5:$D$1004,'Mug Log'!$B$5:$B$1004,B203))</f>
        <v/>
      </c>
      <c r="T203" s="9" t="str">
        <f aca="false">IF(OR(B203="",R203=0),"",S203/R203)</f>
        <v/>
      </c>
      <c r="U203" s="4"/>
    </row>
    <row r="204" customFormat="false" ht="15" hidden="false" customHeight="false" outlineLevel="0" collapsed="false">
      <c r="A204" s="4"/>
      <c r="B204" s="5"/>
      <c r="C204" s="4"/>
      <c r="D204" s="6"/>
      <c r="E204" s="4"/>
      <c r="F204" s="4"/>
      <c r="G204" s="6"/>
      <c r="H204" s="4"/>
      <c r="I204" s="4"/>
      <c r="J204" s="7" t="str">
        <f aca="false">IF(B204="","",HYPERLINK("https://www.torn.com/profiles.php?XID="&amp;B204,"Profile"))</f>
        <v/>
      </c>
      <c r="K204" s="7" t="str">
        <f aca="false">IF(B204="","",HYPERLINK("https://www.torn.com/loader.php?sid=attack&amp;user2ID="&amp;B204,"Attack"))</f>
        <v/>
      </c>
      <c r="L204" s="8" t="str">
        <f aca="false">IF(B204="","",IF(COUNTIF('Mug Log'!$B$5:$B$1004,B204)=0,"",_xlfn.MAXIFS('Mug Log'!$A$5:$A$1004,'Mug Log'!$B$5:$B$1004,B204)))</f>
        <v/>
      </c>
      <c r="M204" s="9" t="str">
        <f aca="false">IF(L204="","",SUMIFS('Mug Log'!$D$5:$D$1004,'Mug Log'!$B$5:$B$1004,B204,'Mug Log'!$A$5:$A$1004,L204))</f>
        <v/>
      </c>
      <c r="N204" s="8" t="str">
        <f aca="false">IF(L204="","",L204+Settings!$B$7/24)</f>
        <v/>
      </c>
      <c r="O204" s="8" t="str">
        <f aca="false">IF(N204="","",N204+Settings!$B$6/24)</f>
        <v/>
      </c>
      <c r="P204" s="10" t="str">
        <f aca="false">IF(B204="","",IF(L204="","Never hit",IF(N204&lt;=Settings!$B$8,"READY","Cooldown")))</f>
        <v/>
      </c>
      <c r="Q204" s="11" t="str">
        <f aca="false">IF(P204="Cooldown",N204-Settings!$B$8,"")</f>
        <v/>
      </c>
      <c r="R204" s="12" t="str">
        <f aca="false">IF(B204="","",COUNTIF('Mug Log'!$B$5:$B$1004,B204))</f>
        <v/>
      </c>
      <c r="S204" s="9" t="str">
        <f aca="false">IF(B204="","",SUMIFS('Mug Log'!$D$5:$D$1004,'Mug Log'!$B$5:$B$1004,B204))</f>
        <v/>
      </c>
      <c r="T204" s="9" t="str">
        <f aca="false">IF(OR(B204="",R204=0),"",S204/R204)</f>
        <v/>
      </c>
      <c r="U204" s="4"/>
    </row>
  </sheetData>
  <autoFilter ref="A4:U204"/>
  <conditionalFormatting sqref="P5:P204">
    <cfRule type="cellIs" priority="2" operator="equal" aboveAverage="0" equalAverage="0" bottom="0" percent="0" rank="0" text="" dxfId="7">
      <formula>"READY"</formula>
    </cfRule>
    <cfRule type="cellIs" priority="3" operator="equal" aboveAverage="0" equalAverage="0" bottom="0" percent="0" rank="0" text="" dxfId="8">
      <formula>"Cooldown"</formula>
    </cfRule>
    <cfRule type="cellIs" priority="4" operator="equal" aboveAverage="0" equalAverage="0" bottom="0" percent="0" rank="0" text="" dxfId="9">
      <formula>"Never hit"</formula>
    </cfRule>
  </conditionalFormatting>
  <dataValidations count="1">
    <dataValidation allowBlank="true" errorStyle="stop" operator="between" showDropDown="false" showErrorMessage="false" showInputMessage="false" sqref="H5:H204" type="list">
      <formula1>"Buy-Mug,Casino Winner,HoF Inactive,Overseas - Cayman,Overseas - Switzerland,Other"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13" t="s">
        <v>30</v>
      </c>
      <c r="B4" s="13" t="s">
        <v>31</v>
      </c>
      <c r="C4" s="13" t="s">
        <v>2</v>
      </c>
      <c r="D4" s="13" t="s">
        <v>32</v>
      </c>
      <c r="E4" s="13" t="s">
        <v>33</v>
      </c>
      <c r="F4" s="13" t="s">
        <v>22</v>
      </c>
      <c r="G4" s="13" t="s">
        <v>34</v>
      </c>
    </row>
    <row r="5" customFormat="false" ht="15" hidden="false" customHeight="false" outlineLevel="0" collapsed="false">
      <c r="A5" s="14" t="n">
        <v>46305.6458333333</v>
      </c>
      <c r="B5" s="5" t="n">
        <v>123456</v>
      </c>
      <c r="C5" s="15" t="str">
        <f aca="false">IF(B5="","",IFERROR(INDEX('Mug Marks'!$A$5:$A$204,MATCH(B5,'Mug Marks'!$B$5:$B$204,0)),"(not on Mug Marks)"))</f>
        <v>EXAMPLE Target (delete)</v>
      </c>
      <c r="D5" s="6" t="n">
        <v>2400000</v>
      </c>
      <c r="E5" s="4" t="s">
        <v>35</v>
      </c>
      <c r="F5" s="4" t="s">
        <v>36</v>
      </c>
      <c r="G5" s="8" t="n">
        <f aca="false">IF(A5="","",A5+Settings!$B$6/24)</f>
        <v>46305.3541666667</v>
      </c>
    </row>
    <row r="6" customFormat="false" ht="15" hidden="false" customHeight="false" outlineLevel="0" collapsed="false">
      <c r="A6" s="14"/>
      <c r="B6" s="5"/>
      <c r="C6" s="15" t="str">
        <f aca="false">IF(B6="","",IFERROR(INDEX('Mug Marks'!$A$5:$A$204,MATCH(B6,'Mug Marks'!$B$5:$B$204,0)),"(not on Mug Marks)"))</f>
        <v/>
      </c>
      <c r="D6" s="6"/>
      <c r="E6" s="4"/>
      <c r="F6" s="4"/>
      <c r="G6" s="8" t="str">
        <f aca="false">IF(A6="","",A6+Settings!$B$6/24)</f>
        <v/>
      </c>
    </row>
    <row r="7" customFormat="false" ht="15" hidden="false" customHeight="false" outlineLevel="0" collapsed="false">
      <c r="A7" s="14"/>
      <c r="B7" s="5"/>
      <c r="C7" s="15" t="str">
        <f aca="false">IF(B7="","",IFERROR(INDEX('Mug Marks'!$A$5:$A$204,MATCH(B7,'Mug Marks'!$B$5:$B$204,0)),"(not on Mug Marks)"))</f>
        <v/>
      </c>
      <c r="D7" s="6"/>
      <c r="E7" s="4"/>
      <c r="F7" s="4"/>
      <c r="G7" s="8" t="str">
        <f aca="false">IF(A7="","",A7+Settings!$B$6/24)</f>
        <v/>
      </c>
    </row>
    <row r="8" customFormat="false" ht="15" hidden="false" customHeight="false" outlineLevel="0" collapsed="false">
      <c r="A8" s="14"/>
      <c r="B8" s="5"/>
      <c r="C8" s="15" t="str">
        <f aca="false">IF(B8="","",IFERROR(INDEX('Mug Marks'!$A$5:$A$204,MATCH(B8,'Mug Marks'!$B$5:$B$204,0)),"(not on Mug Marks)"))</f>
        <v/>
      </c>
      <c r="D8" s="6"/>
      <c r="E8" s="4"/>
      <c r="F8" s="4"/>
      <c r="G8" s="8" t="str">
        <f aca="false">IF(A8="","",A8+Settings!$B$6/24)</f>
        <v/>
      </c>
    </row>
    <row r="9" customFormat="false" ht="15" hidden="false" customHeight="false" outlineLevel="0" collapsed="false">
      <c r="A9" s="14"/>
      <c r="B9" s="5"/>
      <c r="C9" s="15" t="str">
        <f aca="false">IF(B9="","",IFERROR(INDEX('Mug Marks'!$A$5:$A$204,MATCH(B9,'Mug Marks'!$B$5:$B$204,0)),"(not on Mug Marks)"))</f>
        <v/>
      </c>
      <c r="D9" s="6"/>
      <c r="E9" s="4"/>
      <c r="F9" s="4"/>
      <c r="G9" s="8" t="str">
        <f aca="false">IF(A9="","",A9+Settings!$B$6/24)</f>
        <v/>
      </c>
    </row>
    <row r="10" customFormat="false" ht="15" hidden="false" customHeight="false" outlineLevel="0" collapsed="false">
      <c r="A10" s="14"/>
      <c r="B10" s="5"/>
      <c r="C10" s="15" t="str">
        <f aca="false">IF(B10="","",IFERROR(INDEX('Mug Marks'!$A$5:$A$204,MATCH(B10,'Mug Marks'!$B$5:$B$204,0)),"(not on Mug Marks)"))</f>
        <v/>
      </c>
      <c r="D10" s="6"/>
      <c r="E10" s="4"/>
      <c r="F10" s="4"/>
      <c r="G10" s="8" t="str">
        <f aca="false">IF(A10="","",A10+Settings!$B$6/24)</f>
        <v/>
      </c>
    </row>
    <row r="11" customFormat="false" ht="15" hidden="false" customHeight="false" outlineLevel="0" collapsed="false">
      <c r="A11" s="14"/>
      <c r="B11" s="5"/>
      <c r="C11" s="15" t="str">
        <f aca="false">IF(B11="","",IFERROR(INDEX('Mug Marks'!$A$5:$A$204,MATCH(B11,'Mug Marks'!$B$5:$B$204,0)),"(not on Mug Marks)"))</f>
        <v/>
      </c>
      <c r="D11" s="6"/>
      <c r="E11" s="4"/>
      <c r="F11" s="4"/>
      <c r="G11" s="8" t="str">
        <f aca="false">IF(A11="","",A11+Settings!$B$6/24)</f>
        <v/>
      </c>
    </row>
    <row r="12" customFormat="false" ht="15" hidden="false" customHeight="false" outlineLevel="0" collapsed="false">
      <c r="A12" s="14"/>
      <c r="B12" s="5"/>
      <c r="C12" s="15" t="str">
        <f aca="false">IF(B12="","",IFERROR(INDEX('Mug Marks'!$A$5:$A$204,MATCH(B12,'Mug Marks'!$B$5:$B$204,0)),"(not on Mug Marks)"))</f>
        <v/>
      </c>
      <c r="D12" s="6"/>
      <c r="E12" s="4"/>
      <c r="F12" s="4"/>
      <c r="G12" s="8" t="str">
        <f aca="false">IF(A12="","",A12+Settings!$B$6/24)</f>
        <v/>
      </c>
    </row>
    <row r="13" customFormat="false" ht="15" hidden="false" customHeight="false" outlineLevel="0" collapsed="false">
      <c r="A13" s="14"/>
      <c r="B13" s="5"/>
      <c r="C13" s="15" t="str">
        <f aca="false">IF(B13="","",IFERROR(INDEX('Mug Marks'!$A$5:$A$204,MATCH(B13,'Mug Marks'!$B$5:$B$204,0)),"(not on Mug Marks)"))</f>
        <v/>
      </c>
      <c r="D13" s="6"/>
      <c r="E13" s="4"/>
      <c r="F13" s="4"/>
      <c r="G13" s="8" t="str">
        <f aca="false">IF(A13="","",A13+Settings!$B$6/24)</f>
        <v/>
      </c>
    </row>
    <row r="14" customFormat="false" ht="15" hidden="false" customHeight="false" outlineLevel="0" collapsed="false">
      <c r="A14" s="14"/>
      <c r="B14" s="5"/>
      <c r="C14" s="15" t="str">
        <f aca="false">IF(B14="","",IFERROR(INDEX('Mug Marks'!$A$5:$A$204,MATCH(B14,'Mug Marks'!$B$5:$B$204,0)),"(not on Mug Marks)"))</f>
        <v/>
      </c>
      <c r="D14" s="6"/>
      <c r="E14" s="4"/>
      <c r="F14" s="4"/>
      <c r="G14" s="8" t="str">
        <f aca="false">IF(A14="","",A14+Settings!$B$6/24)</f>
        <v/>
      </c>
    </row>
    <row r="15" customFormat="false" ht="15" hidden="false" customHeight="false" outlineLevel="0" collapsed="false">
      <c r="A15" s="14"/>
      <c r="B15" s="5"/>
      <c r="C15" s="15" t="str">
        <f aca="false">IF(B15="","",IFERROR(INDEX('Mug Marks'!$A$5:$A$204,MATCH(B15,'Mug Marks'!$B$5:$B$204,0)),"(not on Mug Marks)"))</f>
        <v/>
      </c>
      <c r="D15" s="6"/>
      <c r="E15" s="4"/>
      <c r="F15" s="4"/>
      <c r="G15" s="8" t="str">
        <f aca="false">IF(A15="","",A15+Settings!$B$6/24)</f>
        <v/>
      </c>
    </row>
    <row r="16" customFormat="false" ht="15" hidden="false" customHeight="false" outlineLevel="0" collapsed="false">
      <c r="A16" s="14"/>
      <c r="B16" s="5"/>
      <c r="C16" s="15" t="str">
        <f aca="false">IF(B16="","",IFERROR(INDEX('Mug Marks'!$A$5:$A$204,MATCH(B16,'Mug Marks'!$B$5:$B$204,0)),"(not on Mug Marks)"))</f>
        <v/>
      </c>
      <c r="D16" s="6"/>
      <c r="E16" s="4"/>
      <c r="F16" s="4"/>
      <c r="G16" s="8" t="str">
        <f aca="false">IF(A16="","",A16+Settings!$B$6/24)</f>
        <v/>
      </c>
    </row>
    <row r="17" customFormat="false" ht="15" hidden="false" customHeight="false" outlineLevel="0" collapsed="false">
      <c r="A17" s="14"/>
      <c r="B17" s="5"/>
      <c r="C17" s="15" t="str">
        <f aca="false">IF(B17="","",IFERROR(INDEX('Mug Marks'!$A$5:$A$204,MATCH(B17,'Mug Marks'!$B$5:$B$204,0)),"(not on Mug Marks)"))</f>
        <v/>
      </c>
      <c r="D17" s="6"/>
      <c r="E17" s="4"/>
      <c r="F17" s="4"/>
      <c r="G17" s="8" t="str">
        <f aca="false">IF(A17="","",A17+Settings!$B$6/24)</f>
        <v/>
      </c>
    </row>
    <row r="18" customFormat="false" ht="15" hidden="false" customHeight="false" outlineLevel="0" collapsed="false">
      <c r="A18" s="14"/>
      <c r="B18" s="5"/>
      <c r="C18" s="15" t="str">
        <f aca="false">IF(B18="","",IFERROR(INDEX('Mug Marks'!$A$5:$A$204,MATCH(B18,'Mug Marks'!$B$5:$B$204,0)),"(not on Mug Marks)"))</f>
        <v/>
      </c>
      <c r="D18" s="6"/>
      <c r="E18" s="4"/>
      <c r="F18" s="4"/>
      <c r="G18" s="8" t="str">
        <f aca="false">IF(A18="","",A18+Settings!$B$6/24)</f>
        <v/>
      </c>
    </row>
    <row r="19" customFormat="false" ht="15" hidden="false" customHeight="false" outlineLevel="0" collapsed="false">
      <c r="A19" s="14"/>
      <c r="B19" s="5"/>
      <c r="C19" s="15" t="str">
        <f aca="false">IF(B19="","",IFERROR(INDEX('Mug Marks'!$A$5:$A$204,MATCH(B19,'Mug Marks'!$B$5:$B$204,0)),"(not on Mug Marks)"))</f>
        <v/>
      </c>
      <c r="D19" s="6"/>
      <c r="E19" s="4"/>
      <c r="F19" s="4"/>
      <c r="G19" s="8" t="str">
        <f aca="false">IF(A19="","",A19+Settings!$B$6/24)</f>
        <v/>
      </c>
    </row>
    <row r="20" customFormat="false" ht="15" hidden="false" customHeight="false" outlineLevel="0" collapsed="false">
      <c r="A20" s="14"/>
      <c r="B20" s="5"/>
      <c r="C20" s="15" t="str">
        <f aca="false">IF(B20="","",IFERROR(INDEX('Mug Marks'!$A$5:$A$204,MATCH(B20,'Mug Marks'!$B$5:$B$204,0)),"(not on Mug Marks)"))</f>
        <v/>
      </c>
      <c r="D20" s="6"/>
      <c r="E20" s="4"/>
      <c r="F20" s="4"/>
      <c r="G20" s="8" t="str">
        <f aca="false">IF(A20="","",A20+Settings!$B$6/24)</f>
        <v/>
      </c>
    </row>
    <row r="21" customFormat="false" ht="15" hidden="false" customHeight="false" outlineLevel="0" collapsed="false">
      <c r="A21" s="14"/>
      <c r="B21" s="5"/>
      <c r="C21" s="15" t="str">
        <f aca="false">IF(B21="","",IFERROR(INDEX('Mug Marks'!$A$5:$A$204,MATCH(B21,'Mug Marks'!$B$5:$B$204,0)),"(not on Mug Marks)"))</f>
        <v/>
      </c>
      <c r="D21" s="6"/>
      <c r="E21" s="4"/>
      <c r="F21" s="4"/>
      <c r="G21" s="8" t="str">
        <f aca="false">IF(A21="","",A21+Settings!$B$6/24)</f>
        <v/>
      </c>
    </row>
    <row r="22" customFormat="false" ht="15" hidden="false" customHeight="false" outlineLevel="0" collapsed="false">
      <c r="A22" s="14"/>
      <c r="B22" s="5"/>
      <c r="C22" s="15" t="str">
        <f aca="false">IF(B22="","",IFERROR(INDEX('Mug Marks'!$A$5:$A$204,MATCH(B22,'Mug Marks'!$B$5:$B$204,0)),"(not on Mug Marks)"))</f>
        <v/>
      </c>
      <c r="D22" s="6"/>
      <c r="E22" s="4"/>
      <c r="F22" s="4"/>
      <c r="G22" s="8" t="str">
        <f aca="false">IF(A22="","",A22+Settings!$B$6/24)</f>
        <v/>
      </c>
    </row>
    <row r="23" customFormat="false" ht="15" hidden="false" customHeight="false" outlineLevel="0" collapsed="false">
      <c r="A23" s="14"/>
      <c r="B23" s="5"/>
      <c r="C23" s="15" t="str">
        <f aca="false">IF(B23="","",IFERROR(INDEX('Mug Marks'!$A$5:$A$204,MATCH(B23,'Mug Marks'!$B$5:$B$204,0)),"(not on Mug Marks)"))</f>
        <v/>
      </c>
      <c r="D23" s="6"/>
      <c r="E23" s="4"/>
      <c r="F23" s="4"/>
      <c r="G23" s="8" t="str">
        <f aca="false">IF(A23="","",A23+Settings!$B$6/24)</f>
        <v/>
      </c>
    </row>
    <row r="24" customFormat="false" ht="15" hidden="false" customHeight="false" outlineLevel="0" collapsed="false">
      <c r="A24" s="14"/>
      <c r="B24" s="5"/>
      <c r="C24" s="15" t="str">
        <f aca="false">IF(B24="","",IFERROR(INDEX('Mug Marks'!$A$5:$A$204,MATCH(B24,'Mug Marks'!$B$5:$B$204,0)),"(not on Mug Marks)"))</f>
        <v/>
      </c>
      <c r="D24" s="6"/>
      <c r="E24" s="4"/>
      <c r="F24" s="4"/>
      <c r="G24" s="8" t="str">
        <f aca="false">IF(A24="","",A24+Settings!$B$6/24)</f>
        <v/>
      </c>
    </row>
    <row r="25" customFormat="false" ht="15" hidden="false" customHeight="false" outlineLevel="0" collapsed="false">
      <c r="A25" s="14"/>
      <c r="B25" s="5"/>
      <c r="C25" s="15" t="str">
        <f aca="false">IF(B25="","",IFERROR(INDEX('Mug Marks'!$A$5:$A$204,MATCH(B25,'Mug Marks'!$B$5:$B$204,0)),"(not on Mug Marks)"))</f>
        <v/>
      </c>
      <c r="D25" s="6"/>
      <c r="E25" s="4"/>
      <c r="F25" s="4"/>
      <c r="G25" s="8" t="str">
        <f aca="false">IF(A25="","",A25+Settings!$B$6/24)</f>
        <v/>
      </c>
    </row>
    <row r="26" customFormat="false" ht="15" hidden="false" customHeight="false" outlineLevel="0" collapsed="false">
      <c r="A26" s="14"/>
      <c r="B26" s="5"/>
      <c r="C26" s="15" t="str">
        <f aca="false">IF(B26="","",IFERROR(INDEX('Mug Marks'!$A$5:$A$204,MATCH(B26,'Mug Marks'!$B$5:$B$204,0)),"(not on Mug Marks)"))</f>
        <v/>
      </c>
      <c r="D26" s="6"/>
      <c r="E26" s="4"/>
      <c r="F26" s="4"/>
      <c r="G26" s="8" t="str">
        <f aca="false">IF(A26="","",A26+Settings!$B$6/24)</f>
        <v/>
      </c>
    </row>
    <row r="27" customFormat="false" ht="15" hidden="false" customHeight="false" outlineLevel="0" collapsed="false">
      <c r="A27" s="14"/>
      <c r="B27" s="5"/>
      <c r="C27" s="15" t="str">
        <f aca="false">IF(B27="","",IFERROR(INDEX('Mug Marks'!$A$5:$A$204,MATCH(B27,'Mug Marks'!$B$5:$B$204,0)),"(not on Mug Marks)"))</f>
        <v/>
      </c>
      <c r="D27" s="6"/>
      <c r="E27" s="4"/>
      <c r="F27" s="4"/>
      <c r="G27" s="8" t="str">
        <f aca="false">IF(A27="","",A27+Settings!$B$6/24)</f>
        <v/>
      </c>
    </row>
    <row r="28" customFormat="false" ht="15" hidden="false" customHeight="false" outlineLevel="0" collapsed="false">
      <c r="A28" s="14"/>
      <c r="B28" s="5"/>
      <c r="C28" s="15" t="str">
        <f aca="false">IF(B28="","",IFERROR(INDEX('Mug Marks'!$A$5:$A$204,MATCH(B28,'Mug Marks'!$B$5:$B$204,0)),"(not on Mug Marks)"))</f>
        <v/>
      </c>
      <c r="D28" s="6"/>
      <c r="E28" s="4"/>
      <c r="F28" s="4"/>
      <c r="G28" s="8" t="str">
        <f aca="false">IF(A28="","",A28+Settings!$B$6/24)</f>
        <v/>
      </c>
    </row>
    <row r="29" customFormat="false" ht="15" hidden="false" customHeight="false" outlineLevel="0" collapsed="false">
      <c r="A29" s="14"/>
      <c r="B29" s="5"/>
      <c r="C29" s="15" t="str">
        <f aca="false">IF(B29="","",IFERROR(INDEX('Mug Marks'!$A$5:$A$204,MATCH(B29,'Mug Marks'!$B$5:$B$204,0)),"(not on Mug Marks)"))</f>
        <v/>
      </c>
      <c r="D29" s="6"/>
      <c r="E29" s="4"/>
      <c r="F29" s="4"/>
      <c r="G29" s="8" t="str">
        <f aca="false">IF(A29="","",A29+Settings!$B$6/24)</f>
        <v/>
      </c>
    </row>
    <row r="30" customFormat="false" ht="15" hidden="false" customHeight="false" outlineLevel="0" collapsed="false">
      <c r="A30" s="14"/>
      <c r="B30" s="5"/>
      <c r="C30" s="15" t="str">
        <f aca="false">IF(B30="","",IFERROR(INDEX('Mug Marks'!$A$5:$A$204,MATCH(B30,'Mug Marks'!$B$5:$B$204,0)),"(not on Mug Marks)"))</f>
        <v/>
      </c>
      <c r="D30" s="6"/>
      <c r="E30" s="4"/>
      <c r="F30" s="4"/>
      <c r="G30" s="8" t="str">
        <f aca="false">IF(A30="","",A30+Settings!$B$6/24)</f>
        <v/>
      </c>
    </row>
    <row r="31" customFormat="false" ht="15" hidden="false" customHeight="false" outlineLevel="0" collapsed="false">
      <c r="A31" s="14"/>
      <c r="B31" s="5"/>
      <c r="C31" s="15" t="str">
        <f aca="false">IF(B31="","",IFERROR(INDEX('Mug Marks'!$A$5:$A$204,MATCH(B31,'Mug Marks'!$B$5:$B$204,0)),"(not on Mug Marks)"))</f>
        <v/>
      </c>
      <c r="D31" s="6"/>
      <c r="E31" s="4"/>
      <c r="F31" s="4"/>
      <c r="G31" s="8" t="str">
        <f aca="false">IF(A31="","",A31+Settings!$B$6/24)</f>
        <v/>
      </c>
    </row>
    <row r="32" customFormat="false" ht="15" hidden="false" customHeight="false" outlineLevel="0" collapsed="false">
      <c r="A32" s="14"/>
      <c r="B32" s="5"/>
      <c r="C32" s="15" t="str">
        <f aca="false">IF(B32="","",IFERROR(INDEX('Mug Marks'!$A$5:$A$204,MATCH(B32,'Mug Marks'!$B$5:$B$204,0)),"(not on Mug Marks)"))</f>
        <v/>
      </c>
      <c r="D32" s="6"/>
      <c r="E32" s="4"/>
      <c r="F32" s="4"/>
      <c r="G32" s="8" t="str">
        <f aca="false">IF(A32="","",A32+Settings!$B$6/24)</f>
        <v/>
      </c>
    </row>
    <row r="33" customFormat="false" ht="15" hidden="false" customHeight="false" outlineLevel="0" collapsed="false">
      <c r="A33" s="14"/>
      <c r="B33" s="5"/>
      <c r="C33" s="15" t="str">
        <f aca="false">IF(B33="","",IFERROR(INDEX('Mug Marks'!$A$5:$A$204,MATCH(B33,'Mug Marks'!$B$5:$B$204,0)),"(not on Mug Marks)"))</f>
        <v/>
      </c>
      <c r="D33" s="6"/>
      <c r="E33" s="4"/>
      <c r="F33" s="4"/>
      <c r="G33" s="8" t="str">
        <f aca="false">IF(A33="","",A33+Settings!$B$6/24)</f>
        <v/>
      </c>
    </row>
    <row r="34" customFormat="false" ht="15" hidden="false" customHeight="false" outlineLevel="0" collapsed="false">
      <c r="A34" s="14"/>
      <c r="B34" s="5"/>
      <c r="C34" s="15" t="str">
        <f aca="false">IF(B34="","",IFERROR(INDEX('Mug Marks'!$A$5:$A$204,MATCH(B34,'Mug Marks'!$B$5:$B$204,0)),"(not on Mug Marks)"))</f>
        <v/>
      </c>
      <c r="D34" s="6"/>
      <c r="E34" s="4"/>
      <c r="F34" s="4"/>
      <c r="G34" s="8" t="str">
        <f aca="false">IF(A34="","",A34+Settings!$B$6/24)</f>
        <v/>
      </c>
    </row>
    <row r="35" customFormat="false" ht="15" hidden="false" customHeight="false" outlineLevel="0" collapsed="false">
      <c r="A35" s="14"/>
      <c r="B35" s="5"/>
      <c r="C35" s="15" t="str">
        <f aca="false">IF(B35="","",IFERROR(INDEX('Mug Marks'!$A$5:$A$204,MATCH(B35,'Mug Marks'!$B$5:$B$204,0)),"(not on Mug Marks)"))</f>
        <v/>
      </c>
      <c r="D35" s="6"/>
      <c r="E35" s="4"/>
      <c r="F35" s="4"/>
      <c r="G35" s="8" t="str">
        <f aca="false">IF(A35="","",A35+Settings!$B$6/24)</f>
        <v/>
      </c>
    </row>
    <row r="36" customFormat="false" ht="15" hidden="false" customHeight="false" outlineLevel="0" collapsed="false">
      <c r="A36" s="14"/>
      <c r="B36" s="5"/>
      <c r="C36" s="15" t="str">
        <f aca="false">IF(B36="","",IFERROR(INDEX('Mug Marks'!$A$5:$A$204,MATCH(B36,'Mug Marks'!$B$5:$B$204,0)),"(not on Mug Marks)"))</f>
        <v/>
      </c>
      <c r="D36" s="6"/>
      <c r="E36" s="4"/>
      <c r="F36" s="4"/>
      <c r="G36" s="8" t="str">
        <f aca="false">IF(A36="","",A36+Settings!$B$6/24)</f>
        <v/>
      </c>
    </row>
    <row r="37" customFormat="false" ht="15" hidden="false" customHeight="false" outlineLevel="0" collapsed="false">
      <c r="A37" s="14"/>
      <c r="B37" s="5"/>
      <c r="C37" s="15" t="str">
        <f aca="false">IF(B37="","",IFERROR(INDEX('Mug Marks'!$A$5:$A$204,MATCH(B37,'Mug Marks'!$B$5:$B$204,0)),"(not on Mug Marks)"))</f>
        <v/>
      </c>
      <c r="D37" s="6"/>
      <c r="E37" s="4"/>
      <c r="F37" s="4"/>
      <c r="G37" s="8" t="str">
        <f aca="false">IF(A37="","",A37+Settings!$B$6/24)</f>
        <v/>
      </c>
    </row>
    <row r="38" customFormat="false" ht="15" hidden="false" customHeight="false" outlineLevel="0" collapsed="false">
      <c r="A38" s="14"/>
      <c r="B38" s="5"/>
      <c r="C38" s="15" t="str">
        <f aca="false">IF(B38="","",IFERROR(INDEX('Mug Marks'!$A$5:$A$204,MATCH(B38,'Mug Marks'!$B$5:$B$204,0)),"(not on Mug Marks)"))</f>
        <v/>
      </c>
      <c r="D38" s="6"/>
      <c r="E38" s="4"/>
      <c r="F38" s="4"/>
      <c r="G38" s="8" t="str">
        <f aca="false">IF(A38="","",A38+Settings!$B$6/24)</f>
        <v/>
      </c>
    </row>
    <row r="39" customFormat="false" ht="15" hidden="false" customHeight="false" outlineLevel="0" collapsed="false">
      <c r="A39" s="14"/>
      <c r="B39" s="5"/>
      <c r="C39" s="15" t="str">
        <f aca="false">IF(B39="","",IFERROR(INDEX('Mug Marks'!$A$5:$A$204,MATCH(B39,'Mug Marks'!$B$5:$B$204,0)),"(not on Mug Marks)"))</f>
        <v/>
      </c>
      <c r="D39" s="6"/>
      <c r="E39" s="4"/>
      <c r="F39" s="4"/>
      <c r="G39" s="8" t="str">
        <f aca="false">IF(A39="","",A39+Settings!$B$6/24)</f>
        <v/>
      </c>
    </row>
    <row r="40" customFormat="false" ht="15" hidden="false" customHeight="false" outlineLevel="0" collapsed="false">
      <c r="A40" s="14"/>
      <c r="B40" s="5"/>
      <c r="C40" s="15" t="str">
        <f aca="false">IF(B40="","",IFERROR(INDEX('Mug Marks'!$A$5:$A$204,MATCH(B40,'Mug Marks'!$B$5:$B$204,0)),"(not on Mug Marks)"))</f>
        <v/>
      </c>
      <c r="D40" s="6"/>
      <c r="E40" s="4"/>
      <c r="F40" s="4"/>
      <c r="G40" s="8" t="str">
        <f aca="false">IF(A40="","",A40+Settings!$B$6/24)</f>
        <v/>
      </c>
    </row>
    <row r="41" customFormat="false" ht="15" hidden="false" customHeight="false" outlineLevel="0" collapsed="false">
      <c r="A41" s="14"/>
      <c r="B41" s="5"/>
      <c r="C41" s="15" t="str">
        <f aca="false">IF(B41="","",IFERROR(INDEX('Mug Marks'!$A$5:$A$204,MATCH(B41,'Mug Marks'!$B$5:$B$204,0)),"(not on Mug Marks)"))</f>
        <v/>
      </c>
      <c r="D41" s="6"/>
      <c r="E41" s="4"/>
      <c r="F41" s="4"/>
      <c r="G41" s="8" t="str">
        <f aca="false">IF(A41="","",A41+Settings!$B$6/24)</f>
        <v/>
      </c>
    </row>
    <row r="42" customFormat="false" ht="15" hidden="false" customHeight="false" outlineLevel="0" collapsed="false">
      <c r="A42" s="14"/>
      <c r="B42" s="5"/>
      <c r="C42" s="15" t="str">
        <f aca="false">IF(B42="","",IFERROR(INDEX('Mug Marks'!$A$5:$A$204,MATCH(B42,'Mug Marks'!$B$5:$B$204,0)),"(not on Mug Marks)"))</f>
        <v/>
      </c>
      <c r="D42" s="6"/>
      <c r="E42" s="4"/>
      <c r="F42" s="4"/>
      <c r="G42" s="8" t="str">
        <f aca="false">IF(A42="","",A42+Settings!$B$6/24)</f>
        <v/>
      </c>
    </row>
    <row r="43" customFormat="false" ht="15" hidden="false" customHeight="false" outlineLevel="0" collapsed="false">
      <c r="A43" s="14"/>
      <c r="B43" s="5"/>
      <c r="C43" s="15" t="str">
        <f aca="false">IF(B43="","",IFERROR(INDEX('Mug Marks'!$A$5:$A$204,MATCH(B43,'Mug Marks'!$B$5:$B$204,0)),"(not on Mug Marks)"))</f>
        <v/>
      </c>
      <c r="D43" s="6"/>
      <c r="E43" s="4"/>
      <c r="F43" s="4"/>
      <c r="G43" s="8" t="str">
        <f aca="false">IF(A43="","",A43+Settings!$B$6/24)</f>
        <v/>
      </c>
    </row>
    <row r="44" customFormat="false" ht="15" hidden="false" customHeight="false" outlineLevel="0" collapsed="false">
      <c r="A44" s="14"/>
      <c r="B44" s="5"/>
      <c r="C44" s="15" t="str">
        <f aca="false">IF(B44="","",IFERROR(INDEX('Mug Marks'!$A$5:$A$204,MATCH(B44,'Mug Marks'!$B$5:$B$204,0)),"(not on Mug Marks)"))</f>
        <v/>
      </c>
      <c r="D44" s="6"/>
      <c r="E44" s="4"/>
      <c r="F44" s="4"/>
      <c r="G44" s="8" t="str">
        <f aca="false">IF(A44="","",A44+Settings!$B$6/24)</f>
        <v/>
      </c>
    </row>
    <row r="45" customFormat="false" ht="15" hidden="false" customHeight="false" outlineLevel="0" collapsed="false">
      <c r="A45" s="14"/>
      <c r="B45" s="5"/>
      <c r="C45" s="15" t="str">
        <f aca="false">IF(B45="","",IFERROR(INDEX('Mug Marks'!$A$5:$A$204,MATCH(B45,'Mug Marks'!$B$5:$B$204,0)),"(not on Mug Marks)"))</f>
        <v/>
      </c>
      <c r="D45" s="6"/>
      <c r="E45" s="4"/>
      <c r="F45" s="4"/>
      <c r="G45" s="8" t="str">
        <f aca="false">IF(A45="","",A45+Settings!$B$6/24)</f>
        <v/>
      </c>
    </row>
    <row r="46" customFormat="false" ht="15" hidden="false" customHeight="false" outlineLevel="0" collapsed="false">
      <c r="A46" s="14"/>
      <c r="B46" s="5"/>
      <c r="C46" s="15" t="str">
        <f aca="false">IF(B46="","",IFERROR(INDEX('Mug Marks'!$A$5:$A$204,MATCH(B46,'Mug Marks'!$B$5:$B$204,0)),"(not on Mug Marks)"))</f>
        <v/>
      </c>
      <c r="D46" s="6"/>
      <c r="E46" s="4"/>
      <c r="F46" s="4"/>
      <c r="G46" s="8" t="str">
        <f aca="false">IF(A46="","",A46+Settings!$B$6/24)</f>
        <v/>
      </c>
    </row>
    <row r="47" customFormat="false" ht="15" hidden="false" customHeight="false" outlineLevel="0" collapsed="false">
      <c r="A47" s="14"/>
      <c r="B47" s="5"/>
      <c r="C47" s="15" t="str">
        <f aca="false">IF(B47="","",IFERROR(INDEX('Mug Marks'!$A$5:$A$204,MATCH(B47,'Mug Marks'!$B$5:$B$204,0)),"(not on Mug Marks)"))</f>
        <v/>
      </c>
      <c r="D47" s="6"/>
      <c r="E47" s="4"/>
      <c r="F47" s="4"/>
      <c r="G47" s="8" t="str">
        <f aca="false">IF(A47="","",A47+Settings!$B$6/24)</f>
        <v/>
      </c>
    </row>
    <row r="48" customFormat="false" ht="15" hidden="false" customHeight="false" outlineLevel="0" collapsed="false">
      <c r="A48" s="14"/>
      <c r="B48" s="5"/>
      <c r="C48" s="15" t="str">
        <f aca="false">IF(B48="","",IFERROR(INDEX('Mug Marks'!$A$5:$A$204,MATCH(B48,'Mug Marks'!$B$5:$B$204,0)),"(not on Mug Marks)"))</f>
        <v/>
      </c>
      <c r="D48" s="6"/>
      <c r="E48" s="4"/>
      <c r="F48" s="4"/>
      <c r="G48" s="8" t="str">
        <f aca="false">IF(A48="","",A48+Settings!$B$6/24)</f>
        <v/>
      </c>
    </row>
    <row r="49" customFormat="false" ht="15" hidden="false" customHeight="false" outlineLevel="0" collapsed="false">
      <c r="A49" s="14"/>
      <c r="B49" s="5"/>
      <c r="C49" s="15" t="str">
        <f aca="false">IF(B49="","",IFERROR(INDEX('Mug Marks'!$A$5:$A$204,MATCH(B49,'Mug Marks'!$B$5:$B$204,0)),"(not on Mug Marks)"))</f>
        <v/>
      </c>
      <c r="D49" s="6"/>
      <c r="E49" s="4"/>
      <c r="F49" s="4"/>
      <c r="G49" s="8" t="str">
        <f aca="false">IF(A49="","",A49+Settings!$B$6/24)</f>
        <v/>
      </c>
    </row>
    <row r="50" customFormat="false" ht="15" hidden="false" customHeight="false" outlineLevel="0" collapsed="false">
      <c r="A50" s="14"/>
      <c r="B50" s="5"/>
      <c r="C50" s="15" t="str">
        <f aca="false">IF(B50="","",IFERROR(INDEX('Mug Marks'!$A$5:$A$204,MATCH(B50,'Mug Marks'!$B$5:$B$204,0)),"(not on Mug Marks)"))</f>
        <v/>
      </c>
      <c r="D50" s="6"/>
      <c r="E50" s="4"/>
      <c r="F50" s="4"/>
      <c r="G50" s="8" t="str">
        <f aca="false">IF(A50="","",A50+Settings!$B$6/24)</f>
        <v/>
      </c>
    </row>
    <row r="51" customFormat="false" ht="15" hidden="false" customHeight="false" outlineLevel="0" collapsed="false">
      <c r="A51" s="14"/>
      <c r="B51" s="5"/>
      <c r="C51" s="15" t="str">
        <f aca="false">IF(B51="","",IFERROR(INDEX('Mug Marks'!$A$5:$A$204,MATCH(B51,'Mug Marks'!$B$5:$B$204,0)),"(not on Mug Marks)"))</f>
        <v/>
      </c>
      <c r="D51" s="6"/>
      <c r="E51" s="4"/>
      <c r="F51" s="4"/>
      <c r="G51" s="8" t="str">
        <f aca="false">IF(A51="","",A51+Settings!$B$6/24)</f>
        <v/>
      </c>
    </row>
    <row r="52" customFormat="false" ht="15" hidden="false" customHeight="false" outlineLevel="0" collapsed="false">
      <c r="A52" s="14"/>
      <c r="B52" s="5"/>
      <c r="C52" s="15" t="str">
        <f aca="false">IF(B52="","",IFERROR(INDEX('Mug Marks'!$A$5:$A$204,MATCH(B52,'Mug Marks'!$B$5:$B$204,0)),"(not on Mug Marks)"))</f>
        <v/>
      </c>
      <c r="D52" s="6"/>
      <c r="E52" s="4"/>
      <c r="F52" s="4"/>
      <c r="G52" s="8" t="str">
        <f aca="false">IF(A52="","",A52+Settings!$B$6/24)</f>
        <v/>
      </c>
    </row>
    <row r="53" customFormat="false" ht="15" hidden="false" customHeight="false" outlineLevel="0" collapsed="false">
      <c r="A53" s="14"/>
      <c r="B53" s="5"/>
      <c r="C53" s="15" t="str">
        <f aca="false">IF(B53="","",IFERROR(INDEX('Mug Marks'!$A$5:$A$204,MATCH(B53,'Mug Marks'!$B$5:$B$204,0)),"(not on Mug Marks)"))</f>
        <v/>
      </c>
      <c r="D53" s="6"/>
      <c r="E53" s="4"/>
      <c r="F53" s="4"/>
      <c r="G53" s="8" t="str">
        <f aca="false">IF(A53="","",A53+Settings!$B$6/24)</f>
        <v/>
      </c>
    </row>
    <row r="54" customFormat="false" ht="15" hidden="false" customHeight="false" outlineLevel="0" collapsed="false">
      <c r="A54" s="14"/>
      <c r="B54" s="5"/>
      <c r="C54" s="15" t="str">
        <f aca="false">IF(B54="","",IFERROR(INDEX('Mug Marks'!$A$5:$A$204,MATCH(B54,'Mug Marks'!$B$5:$B$204,0)),"(not on Mug Marks)"))</f>
        <v/>
      </c>
      <c r="D54" s="6"/>
      <c r="E54" s="4"/>
      <c r="F54" s="4"/>
      <c r="G54" s="8" t="str">
        <f aca="false">IF(A54="","",A54+Settings!$B$6/24)</f>
        <v/>
      </c>
    </row>
    <row r="55" customFormat="false" ht="15" hidden="false" customHeight="false" outlineLevel="0" collapsed="false">
      <c r="A55" s="14"/>
      <c r="B55" s="5"/>
      <c r="C55" s="15" t="str">
        <f aca="false">IF(B55="","",IFERROR(INDEX('Mug Marks'!$A$5:$A$204,MATCH(B55,'Mug Marks'!$B$5:$B$204,0)),"(not on Mug Marks)"))</f>
        <v/>
      </c>
      <c r="D55" s="6"/>
      <c r="E55" s="4"/>
      <c r="F55" s="4"/>
      <c r="G55" s="8" t="str">
        <f aca="false">IF(A55="","",A55+Settings!$B$6/24)</f>
        <v/>
      </c>
    </row>
    <row r="56" customFormat="false" ht="15" hidden="false" customHeight="false" outlineLevel="0" collapsed="false">
      <c r="A56" s="14"/>
      <c r="B56" s="5"/>
      <c r="C56" s="15" t="str">
        <f aca="false">IF(B56="","",IFERROR(INDEX('Mug Marks'!$A$5:$A$204,MATCH(B56,'Mug Marks'!$B$5:$B$204,0)),"(not on Mug Marks)"))</f>
        <v/>
      </c>
      <c r="D56" s="6"/>
      <c r="E56" s="4"/>
      <c r="F56" s="4"/>
      <c r="G56" s="8" t="str">
        <f aca="false">IF(A56="","",A56+Settings!$B$6/24)</f>
        <v/>
      </c>
    </row>
    <row r="57" customFormat="false" ht="15" hidden="false" customHeight="false" outlineLevel="0" collapsed="false">
      <c r="A57" s="14"/>
      <c r="B57" s="5"/>
      <c r="C57" s="15" t="str">
        <f aca="false">IF(B57="","",IFERROR(INDEX('Mug Marks'!$A$5:$A$204,MATCH(B57,'Mug Marks'!$B$5:$B$204,0)),"(not on Mug Marks)"))</f>
        <v/>
      </c>
      <c r="D57" s="6"/>
      <c r="E57" s="4"/>
      <c r="F57" s="4"/>
      <c r="G57" s="8" t="str">
        <f aca="false">IF(A57="","",A57+Settings!$B$6/24)</f>
        <v/>
      </c>
    </row>
    <row r="58" customFormat="false" ht="15" hidden="false" customHeight="false" outlineLevel="0" collapsed="false">
      <c r="A58" s="14"/>
      <c r="B58" s="5"/>
      <c r="C58" s="15" t="str">
        <f aca="false">IF(B58="","",IFERROR(INDEX('Mug Marks'!$A$5:$A$204,MATCH(B58,'Mug Marks'!$B$5:$B$204,0)),"(not on Mug Marks)"))</f>
        <v/>
      </c>
      <c r="D58" s="6"/>
      <c r="E58" s="4"/>
      <c r="F58" s="4"/>
      <c r="G58" s="8" t="str">
        <f aca="false">IF(A58="","",A58+Settings!$B$6/24)</f>
        <v/>
      </c>
    </row>
    <row r="59" customFormat="false" ht="15" hidden="false" customHeight="false" outlineLevel="0" collapsed="false">
      <c r="A59" s="14"/>
      <c r="B59" s="5"/>
      <c r="C59" s="15" t="str">
        <f aca="false">IF(B59="","",IFERROR(INDEX('Mug Marks'!$A$5:$A$204,MATCH(B59,'Mug Marks'!$B$5:$B$204,0)),"(not on Mug Marks)"))</f>
        <v/>
      </c>
      <c r="D59" s="6"/>
      <c r="E59" s="4"/>
      <c r="F59" s="4"/>
      <c r="G59" s="8" t="str">
        <f aca="false">IF(A59="","",A59+Settings!$B$6/24)</f>
        <v/>
      </c>
    </row>
    <row r="60" customFormat="false" ht="15" hidden="false" customHeight="false" outlineLevel="0" collapsed="false">
      <c r="A60" s="14"/>
      <c r="B60" s="5"/>
      <c r="C60" s="15" t="str">
        <f aca="false">IF(B60="","",IFERROR(INDEX('Mug Marks'!$A$5:$A$204,MATCH(B60,'Mug Marks'!$B$5:$B$204,0)),"(not on Mug Marks)"))</f>
        <v/>
      </c>
      <c r="D60" s="6"/>
      <c r="E60" s="4"/>
      <c r="F60" s="4"/>
      <c r="G60" s="8" t="str">
        <f aca="false">IF(A60="","",A60+Settings!$B$6/24)</f>
        <v/>
      </c>
    </row>
    <row r="61" customFormat="false" ht="15" hidden="false" customHeight="false" outlineLevel="0" collapsed="false">
      <c r="A61" s="14"/>
      <c r="B61" s="5"/>
      <c r="C61" s="15" t="str">
        <f aca="false">IF(B61="","",IFERROR(INDEX('Mug Marks'!$A$5:$A$204,MATCH(B61,'Mug Marks'!$B$5:$B$204,0)),"(not on Mug Marks)"))</f>
        <v/>
      </c>
      <c r="D61" s="6"/>
      <c r="E61" s="4"/>
      <c r="F61" s="4"/>
      <c r="G61" s="8" t="str">
        <f aca="false">IF(A61="","",A61+Settings!$B$6/24)</f>
        <v/>
      </c>
    </row>
    <row r="62" customFormat="false" ht="15" hidden="false" customHeight="false" outlineLevel="0" collapsed="false">
      <c r="A62" s="14"/>
      <c r="B62" s="5"/>
      <c r="C62" s="15" t="str">
        <f aca="false">IF(B62="","",IFERROR(INDEX('Mug Marks'!$A$5:$A$204,MATCH(B62,'Mug Marks'!$B$5:$B$204,0)),"(not on Mug Marks)"))</f>
        <v/>
      </c>
      <c r="D62" s="6"/>
      <c r="E62" s="4"/>
      <c r="F62" s="4"/>
      <c r="G62" s="8" t="str">
        <f aca="false">IF(A62="","",A62+Settings!$B$6/24)</f>
        <v/>
      </c>
    </row>
    <row r="63" customFormat="false" ht="15" hidden="false" customHeight="false" outlineLevel="0" collapsed="false">
      <c r="A63" s="14"/>
      <c r="B63" s="5"/>
      <c r="C63" s="15" t="str">
        <f aca="false">IF(B63="","",IFERROR(INDEX('Mug Marks'!$A$5:$A$204,MATCH(B63,'Mug Marks'!$B$5:$B$204,0)),"(not on Mug Marks)"))</f>
        <v/>
      </c>
      <c r="D63" s="6"/>
      <c r="E63" s="4"/>
      <c r="F63" s="4"/>
      <c r="G63" s="8" t="str">
        <f aca="false">IF(A63="","",A63+Settings!$B$6/24)</f>
        <v/>
      </c>
    </row>
    <row r="64" customFormat="false" ht="15" hidden="false" customHeight="false" outlineLevel="0" collapsed="false">
      <c r="A64" s="14"/>
      <c r="B64" s="5"/>
      <c r="C64" s="15" t="str">
        <f aca="false">IF(B64="","",IFERROR(INDEX('Mug Marks'!$A$5:$A$204,MATCH(B64,'Mug Marks'!$B$5:$B$204,0)),"(not on Mug Marks)"))</f>
        <v/>
      </c>
      <c r="D64" s="6"/>
      <c r="E64" s="4"/>
      <c r="F64" s="4"/>
      <c r="G64" s="8" t="str">
        <f aca="false">IF(A64="","",A64+Settings!$B$6/24)</f>
        <v/>
      </c>
    </row>
    <row r="65" customFormat="false" ht="15" hidden="false" customHeight="false" outlineLevel="0" collapsed="false">
      <c r="A65" s="14"/>
      <c r="B65" s="5"/>
      <c r="C65" s="15" t="str">
        <f aca="false">IF(B65="","",IFERROR(INDEX('Mug Marks'!$A$5:$A$204,MATCH(B65,'Mug Marks'!$B$5:$B$204,0)),"(not on Mug Marks)"))</f>
        <v/>
      </c>
      <c r="D65" s="6"/>
      <c r="E65" s="4"/>
      <c r="F65" s="4"/>
      <c r="G65" s="8" t="str">
        <f aca="false">IF(A65="","",A65+Settings!$B$6/24)</f>
        <v/>
      </c>
    </row>
    <row r="66" customFormat="false" ht="15" hidden="false" customHeight="false" outlineLevel="0" collapsed="false">
      <c r="A66" s="14"/>
      <c r="B66" s="5"/>
      <c r="C66" s="15" t="str">
        <f aca="false">IF(B66="","",IFERROR(INDEX('Mug Marks'!$A$5:$A$204,MATCH(B66,'Mug Marks'!$B$5:$B$204,0)),"(not on Mug Marks)"))</f>
        <v/>
      </c>
      <c r="D66" s="6"/>
      <c r="E66" s="4"/>
      <c r="F66" s="4"/>
      <c r="G66" s="8" t="str">
        <f aca="false">IF(A66="","",A66+Settings!$B$6/24)</f>
        <v/>
      </c>
    </row>
    <row r="67" customFormat="false" ht="15" hidden="false" customHeight="false" outlineLevel="0" collapsed="false">
      <c r="A67" s="14"/>
      <c r="B67" s="5"/>
      <c r="C67" s="15" t="str">
        <f aca="false">IF(B67="","",IFERROR(INDEX('Mug Marks'!$A$5:$A$204,MATCH(B67,'Mug Marks'!$B$5:$B$204,0)),"(not on Mug Marks)"))</f>
        <v/>
      </c>
      <c r="D67" s="6"/>
      <c r="E67" s="4"/>
      <c r="F67" s="4"/>
      <c r="G67" s="8" t="str">
        <f aca="false">IF(A67="","",A67+Settings!$B$6/24)</f>
        <v/>
      </c>
    </row>
    <row r="68" customFormat="false" ht="15" hidden="false" customHeight="false" outlineLevel="0" collapsed="false">
      <c r="A68" s="14"/>
      <c r="B68" s="5"/>
      <c r="C68" s="15" t="str">
        <f aca="false">IF(B68="","",IFERROR(INDEX('Mug Marks'!$A$5:$A$204,MATCH(B68,'Mug Marks'!$B$5:$B$204,0)),"(not on Mug Marks)"))</f>
        <v/>
      </c>
      <c r="D68" s="6"/>
      <c r="E68" s="4"/>
      <c r="F68" s="4"/>
      <c r="G68" s="8" t="str">
        <f aca="false">IF(A68="","",A68+Settings!$B$6/24)</f>
        <v/>
      </c>
    </row>
    <row r="69" customFormat="false" ht="15" hidden="false" customHeight="false" outlineLevel="0" collapsed="false">
      <c r="A69" s="14"/>
      <c r="B69" s="5"/>
      <c r="C69" s="15" t="str">
        <f aca="false">IF(B69="","",IFERROR(INDEX('Mug Marks'!$A$5:$A$204,MATCH(B69,'Mug Marks'!$B$5:$B$204,0)),"(not on Mug Marks)"))</f>
        <v/>
      </c>
      <c r="D69" s="6"/>
      <c r="E69" s="4"/>
      <c r="F69" s="4"/>
      <c r="G69" s="8" t="str">
        <f aca="false">IF(A69="","",A69+Settings!$B$6/24)</f>
        <v/>
      </c>
    </row>
    <row r="70" customFormat="false" ht="15" hidden="false" customHeight="false" outlineLevel="0" collapsed="false">
      <c r="A70" s="14"/>
      <c r="B70" s="5"/>
      <c r="C70" s="15" t="str">
        <f aca="false">IF(B70="","",IFERROR(INDEX('Mug Marks'!$A$5:$A$204,MATCH(B70,'Mug Marks'!$B$5:$B$204,0)),"(not on Mug Marks)"))</f>
        <v/>
      </c>
      <c r="D70" s="6"/>
      <c r="E70" s="4"/>
      <c r="F70" s="4"/>
      <c r="G70" s="8" t="str">
        <f aca="false">IF(A70="","",A70+Settings!$B$6/24)</f>
        <v/>
      </c>
    </row>
    <row r="71" customFormat="false" ht="15" hidden="false" customHeight="false" outlineLevel="0" collapsed="false">
      <c r="A71" s="14"/>
      <c r="B71" s="5"/>
      <c r="C71" s="15" t="str">
        <f aca="false">IF(B71="","",IFERROR(INDEX('Mug Marks'!$A$5:$A$204,MATCH(B71,'Mug Marks'!$B$5:$B$204,0)),"(not on Mug Marks)"))</f>
        <v/>
      </c>
      <c r="D71" s="6"/>
      <c r="E71" s="4"/>
      <c r="F71" s="4"/>
      <c r="G71" s="8" t="str">
        <f aca="false">IF(A71="","",A71+Settings!$B$6/24)</f>
        <v/>
      </c>
    </row>
    <row r="72" customFormat="false" ht="15" hidden="false" customHeight="false" outlineLevel="0" collapsed="false">
      <c r="A72" s="14"/>
      <c r="B72" s="5"/>
      <c r="C72" s="15" t="str">
        <f aca="false">IF(B72="","",IFERROR(INDEX('Mug Marks'!$A$5:$A$204,MATCH(B72,'Mug Marks'!$B$5:$B$204,0)),"(not on Mug Marks)"))</f>
        <v/>
      </c>
      <c r="D72" s="6"/>
      <c r="E72" s="4"/>
      <c r="F72" s="4"/>
      <c r="G72" s="8" t="str">
        <f aca="false">IF(A72="","",A72+Settings!$B$6/24)</f>
        <v/>
      </c>
    </row>
    <row r="73" customFormat="false" ht="15" hidden="false" customHeight="false" outlineLevel="0" collapsed="false">
      <c r="A73" s="14"/>
      <c r="B73" s="5"/>
      <c r="C73" s="15" t="str">
        <f aca="false">IF(B73="","",IFERROR(INDEX('Mug Marks'!$A$5:$A$204,MATCH(B73,'Mug Marks'!$B$5:$B$204,0)),"(not on Mug Marks)"))</f>
        <v/>
      </c>
      <c r="D73" s="6"/>
      <c r="E73" s="4"/>
      <c r="F73" s="4"/>
      <c r="G73" s="8" t="str">
        <f aca="false">IF(A73="","",A73+Settings!$B$6/24)</f>
        <v/>
      </c>
    </row>
    <row r="74" customFormat="false" ht="15" hidden="false" customHeight="false" outlineLevel="0" collapsed="false">
      <c r="A74" s="14"/>
      <c r="B74" s="5"/>
      <c r="C74" s="15" t="str">
        <f aca="false">IF(B74="","",IFERROR(INDEX('Mug Marks'!$A$5:$A$204,MATCH(B74,'Mug Marks'!$B$5:$B$204,0)),"(not on Mug Marks)"))</f>
        <v/>
      </c>
      <c r="D74" s="6"/>
      <c r="E74" s="4"/>
      <c r="F74" s="4"/>
      <c r="G74" s="8" t="str">
        <f aca="false">IF(A74="","",A74+Settings!$B$6/24)</f>
        <v/>
      </c>
    </row>
    <row r="75" customFormat="false" ht="15" hidden="false" customHeight="false" outlineLevel="0" collapsed="false">
      <c r="A75" s="14"/>
      <c r="B75" s="5"/>
      <c r="C75" s="15" t="str">
        <f aca="false">IF(B75="","",IFERROR(INDEX('Mug Marks'!$A$5:$A$204,MATCH(B75,'Mug Marks'!$B$5:$B$204,0)),"(not on Mug Marks)"))</f>
        <v/>
      </c>
      <c r="D75" s="6"/>
      <c r="E75" s="4"/>
      <c r="F75" s="4"/>
      <c r="G75" s="8" t="str">
        <f aca="false">IF(A75="","",A75+Settings!$B$6/24)</f>
        <v/>
      </c>
    </row>
    <row r="76" customFormat="false" ht="15" hidden="false" customHeight="false" outlineLevel="0" collapsed="false">
      <c r="A76" s="14"/>
      <c r="B76" s="5"/>
      <c r="C76" s="15" t="str">
        <f aca="false">IF(B76="","",IFERROR(INDEX('Mug Marks'!$A$5:$A$204,MATCH(B76,'Mug Marks'!$B$5:$B$204,0)),"(not on Mug Marks)"))</f>
        <v/>
      </c>
      <c r="D76" s="6"/>
      <c r="E76" s="4"/>
      <c r="F76" s="4"/>
      <c r="G76" s="8" t="str">
        <f aca="false">IF(A76="","",A76+Settings!$B$6/24)</f>
        <v/>
      </c>
    </row>
    <row r="77" customFormat="false" ht="15" hidden="false" customHeight="false" outlineLevel="0" collapsed="false">
      <c r="A77" s="14"/>
      <c r="B77" s="5"/>
      <c r="C77" s="15" t="str">
        <f aca="false">IF(B77="","",IFERROR(INDEX('Mug Marks'!$A$5:$A$204,MATCH(B77,'Mug Marks'!$B$5:$B$204,0)),"(not on Mug Marks)"))</f>
        <v/>
      </c>
      <c r="D77" s="6"/>
      <c r="E77" s="4"/>
      <c r="F77" s="4"/>
      <c r="G77" s="8" t="str">
        <f aca="false">IF(A77="","",A77+Settings!$B$6/24)</f>
        <v/>
      </c>
    </row>
    <row r="78" customFormat="false" ht="15" hidden="false" customHeight="false" outlineLevel="0" collapsed="false">
      <c r="A78" s="14"/>
      <c r="B78" s="5"/>
      <c r="C78" s="15" t="str">
        <f aca="false">IF(B78="","",IFERROR(INDEX('Mug Marks'!$A$5:$A$204,MATCH(B78,'Mug Marks'!$B$5:$B$204,0)),"(not on Mug Marks)"))</f>
        <v/>
      </c>
      <c r="D78" s="6"/>
      <c r="E78" s="4"/>
      <c r="F78" s="4"/>
      <c r="G78" s="8" t="str">
        <f aca="false">IF(A78="","",A78+Settings!$B$6/24)</f>
        <v/>
      </c>
    </row>
    <row r="79" customFormat="false" ht="15" hidden="false" customHeight="false" outlineLevel="0" collapsed="false">
      <c r="A79" s="14"/>
      <c r="B79" s="5"/>
      <c r="C79" s="15" t="str">
        <f aca="false">IF(B79="","",IFERROR(INDEX('Mug Marks'!$A$5:$A$204,MATCH(B79,'Mug Marks'!$B$5:$B$204,0)),"(not on Mug Marks)"))</f>
        <v/>
      </c>
      <c r="D79" s="6"/>
      <c r="E79" s="4"/>
      <c r="F79" s="4"/>
      <c r="G79" s="8" t="str">
        <f aca="false">IF(A79="","",A79+Settings!$B$6/24)</f>
        <v/>
      </c>
    </row>
    <row r="80" customFormat="false" ht="15" hidden="false" customHeight="false" outlineLevel="0" collapsed="false">
      <c r="A80" s="14"/>
      <c r="B80" s="5"/>
      <c r="C80" s="15" t="str">
        <f aca="false">IF(B80="","",IFERROR(INDEX('Mug Marks'!$A$5:$A$204,MATCH(B80,'Mug Marks'!$B$5:$B$204,0)),"(not on Mug Marks)"))</f>
        <v/>
      </c>
      <c r="D80" s="6"/>
      <c r="E80" s="4"/>
      <c r="F80" s="4"/>
      <c r="G80" s="8" t="str">
        <f aca="false">IF(A80="","",A80+Settings!$B$6/24)</f>
        <v/>
      </c>
    </row>
    <row r="81" customFormat="false" ht="15" hidden="false" customHeight="false" outlineLevel="0" collapsed="false">
      <c r="A81" s="14"/>
      <c r="B81" s="5"/>
      <c r="C81" s="15" t="str">
        <f aca="false">IF(B81="","",IFERROR(INDEX('Mug Marks'!$A$5:$A$204,MATCH(B81,'Mug Marks'!$B$5:$B$204,0)),"(not on Mug Marks)"))</f>
        <v/>
      </c>
      <c r="D81" s="6"/>
      <c r="E81" s="4"/>
      <c r="F81" s="4"/>
      <c r="G81" s="8" t="str">
        <f aca="false">IF(A81="","",A81+Settings!$B$6/24)</f>
        <v/>
      </c>
    </row>
    <row r="82" customFormat="false" ht="15" hidden="false" customHeight="false" outlineLevel="0" collapsed="false">
      <c r="A82" s="14"/>
      <c r="B82" s="5"/>
      <c r="C82" s="15" t="str">
        <f aca="false">IF(B82="","",IFERROR(INDEX('Mug Marks'!$A$5:$A$204,MATCH(B82,'Mug Marks'!$B$5:$B$204,0)),"(not on Mug Marks)"))</f>
        <v/>
      </c>
      <c r="D82" s="6"/>
      <c r="E82" s="4"/>
      <c r="F82" s="4"/>
      <c r="G82" s="8" t="str">
        <f aca="false">IF(A82="","",A82+Settings!$B$6/24)</f>
        <v/>
      </c>
    </row>
    <row r="83" customFormat="false" ht="15" hidden="false" customHeight="false" outlineLevel="0" collapsed="false">
      <c r="A83" s="14"/>
      <c r="B83" s="5"/>
      <c r="C83" s="15" t="str">
        <f aca="false">IF(B83="","",IFERROR(INDEX('Mug Marks'!$A$5:$A$204,MATCH(B83,'Mug Marks'!$B$5:$B$204,0)),"(not on Mug Marks)"))</f>
        <v/>
      </c>
      <c r="D83" s="6"/>
      <c r="E83" s="4"/>
      <c r="F83" s="4"/>
      <c r="G83" s="8" t="str">
        <f aca="false">IF(A83="","",A83+Settings!$B$6/24)</f>
        <v/>
      </c>
    </row>
    <row r="84" customFormat="false" ht="15" hidden="false" customHeight="false" outlineLevel="0" collapsed="false">
      <c r="A84" s="14"/>
      <c r="B84" s="5"/>
      <c r="C84" s="15" t="str">
        <f aca="false">IF(B84="","",IFERROR(INDEX('Mug Marks'!$A$5:$A$204,MATCH(B84,'Mug Marks'!$B$5:$B$204,0)),"(not on Mug Marks)"))</f>
        <v/>
      </c>
      <c r="D84" s="6"/>
      <c r="E84" s="4"/>
      <c r="F84" s="4"/>
      <c r="G84" s="8" t="str">
        <f aca="false">IF(A84="","",A84+Settings!$B$6/24)</f>
        <v/>
      </c>
    </row>
    <row r="85" customFormat="false" ht="15" hidden="false" customHeight="false" outlineLevel="0" collapsed="false">
      <c r="A85" s="14"/>
      <c r="B85" s="5"/>
      <c r="C85" s="15" t="str">
        <f aca="false">IF(B85="","",IFERROR(INDEX('Mug Marks'!$A$5:$A$204,MATCH(B85,'Mug Marks'!$B$5:$B$204,0)),"(not on Mug Marks)"))</f>
        <v/>
      </c>
      <c r="D85" s="6"/>
      <c r="E85" s="4"/>
      <c r="F85" s="4"/>
      <c r="G85" s="8" t="str">
        <f aca="false">IF(A85="","",A85+Settings!$B$6/24)</f>
        <v/>
      </c>
    </row>
    <row r="86" customFormat="false" ht="15" hidden="false" customHeight="false" outlineLevel="0" collapsed="false">
      <c r="A86" s="14"/>
      <c r="B86" s="5"/>
      <c r="C86" s="15" t="str">
        <f aca="false">IF(B86="","",IFERROR(INDEX('Mug Marks'!$A$5:$A$204,MATCH(B86,'Mug Marks'!$B$5:$B$204,0)),"(not on Mug Marks)"))</f>
        <v/>
      </c>
      <c r="D86" s="6"/>
      <c r="E86" s="4"/>
      <c r="F86" s="4"/>
      <c r="G86" s="8" t="str">
        <f aca="false">IF(A86="","",A86+Settings!$B$6/24)</f>
        <v/>
      </c>
    </row>
    <row r="87" customFormat="false" ht="15" hidden="false" customHeight="false" outlineLevel="0" collapsed="false">
      <c r="A87" s="14"/>
      <c r="B87" s="5"/>
      <c r="C87" s="15" t="str">
        <f aca="false">IF(B87="","",IFERROR(INDEX('Mug Marks'!$A$5:$A$204,MATCH(B87,'Mug Marks'!$B$5:$B$204,0)),"(not on Mug Marks)"))</f>
        <v/>
      </c>
      <c r="D87" s="6"/>
      <c r="E87" s="4"/>
      <c r="F87" s="4"/>
      <c r="G87" s="8" t="str">
        <f aca="false">IF(A87="","",A87+Settings!$B$6/24)</f>
        <v/>
      </c>
    </row>
    <row r="88" customFormat="false" ht="15" hidden="false" customHeight="false" outlineLevel="0" collapsed="false">
      <c r="A88" s="14"/>
      <c r="B88" s="5"/>
      <c r="C88" s="15" t="str">
        <f aca="false">IF(B88="","",IFERROR(INDEX('Mug Marks'!$A$5:$A$204,MATCH(B88,'Mug Marks'!$B$5:$B$204,0)),"(not on Mug Marks)"))</f>
        <v/>
      </c>
      <c r="D88" s="6"/>
      <c r="E88" s="4"/>
      <c r="F88" s="4"/>
      <c r="G88" s="8" t="str">
        <f aca="false">IF(A88="","",A88+Settings!$B$6/24)</f>
        <v/>
      </c>
    </row>
    <row r="89" customFormat="false" ht="15" hidden="false" customHeight="false" outlineLevel="0" collapsed="false">
      <c r="A89" s="14"/>
      <c r="B89" s="5"/>
      <c r="C89" s="15" t="str">
        <f aca="false">IF(B89="","",IFERROR(INDEX('Mug Marks'!$A$5:$A$204,MATCH(B89,'Mug Marks'!$B$5:$B$204,0)),"(not on Mug Marks)"))</f>
        <v/>
      </c>
      <c r="D89" s="6"/>
      <c r="E89" s="4"/>
      <c r="F89" s="4"/>
      <c r="G89" s="8" t="str">
        <f aca="false">IF(A89="","",A89+Settings!$B$6/24)</f>
        <v/>
      </c>
    </row>
    <row r="90" customFormat="false" ht="15" hidden="false" customHeight="false" outlineLevel="0" collapsed="false">
      <c r="A90" s="14"/>
      <c r="B90" s="5"/>
      <c r="C90" s="15" t="str">
        <f aca="false">IF(B90="","",IFERROR(INDEX('Mug Marks'!$A$5:$A$204,MATCH(B90,'Mug Marks'!$B$5:$B$204,0)),"(not on Mug Marks)"))</f>
        <v/>
      </c>
      <c r="D90" s="6"/>
      <c r="E90" s="4"/>
      <c r="F90" s="4"/>
      <c r="G90" s="8" t="str">
        <f aca="false">IF(A90="","",A90+Settings!$B$6/24)</f>
        <v/>
      </c>
    </row>
    <row r="91" customFormat="false" ht="15" hidden="false" customHeight="false" outlineLevel="0" collapsed="false">
      <c r="A91" s="14"/>
      <c r="B91" s="5"/>
      <c r="C91" s="15" t="str">
        <f aca="false">IF(B91="","",IFERROR(INDEX('Mug Marks'!$A$5:$A$204,MATCH(B91,'Mug Marks'!$B$5:$B$204,0)),"(not on Mug Marks)"))</f>
        <v/>
      </c>
      <c r="D91" s="6"/>
      <c r="E91" s="4"/>
      <c r="F91" s="4"/>
      <c r="G91" s="8" t="str">
        <f aca="false">IF(A91="","",A91+Settings!$B$6/24)</f>
        <v/>
      </c>
    </row>
    <row r="92" customFormat="false" ht="15" hidden="false" customHeight="false" outlineLevel="0" collapsed="false">
      <c r="A92" s="14"/>
      <c r="B92" s="5"/>
      <c r="C92" s="15" t="str">
        <f aca="false">IF(B92="","",IFERROR(INDEX('Mug Marks'!$A$5:$A$204,MATCH(B92,'Mug Marks'!$B$5:$B$204,0)),"(not on Mug Marks)"))</f>
        <v/>
      </c>
      <c r="D92" s="6"/>
      <c r="E92" s="4"/>
      <c r="F92" s="4"/>
      <c r="G92" s="8" t="str">
        <f aca="false">IF(A92="","",A92+Settings!$B$6/24)</f>
        <v/>
      </c>
    </row>
    <row r="93" customFormat="false" ht="15" hidden="false" customHeight="false" outlineLevel="0" collapsed="false">
      <c r="A93" s="14"/>
      <c r="B93" s="5"/>
      <c r="C93" s="15" t="str">
        <f aca="false">IF(B93="","",IFERROR(INDEX('Mug Marks'!$A$5:$A$204,MATCH(B93,'Mug Marks'!$B$5:$B$204,0)),"(not on Mug Marks)"))</f>
        <v/>
      </c>
      <c r="D93" s="6"/>
      <c r="E93" s="4"/>
      <c r="F93" s="4"/>
      <c r="G93" s="8" t="str">
        <f aca="false">IF(A93="","",A93+Settings!$B$6/24)</f>
        <v/>
      </c>
    </row>
    <row r="94" customFormat="false" ht="15" hidden="false" customHeight="false" outlineLevel="0" collapsed="false">
      <c r="A94" s="14"/>
      <c r="B94" s="5"/>
      <c r="C94" s="15" t="str">
        <f aca="false">IF(B94="","",IFERROR(INDEX('Mug Marks'!$A$5:$A$204,MATCH(B94,'Mug Marks'!$B$5:$B$204,0)),"(not on Mug Marks)"))</f>
        <v/>
      </c>
      <c r="D94" s="6"/>
      <c r="E94" s="4"/>
      <c r="F94" s="4"/>
      <c r="G94" s="8" t="str">
        <f aca="false">IF(A94="","",A94+Settings!$B$6/24)</f>
        <v/>
      </c>
    </row>
    <row r="95" customFormat="false" ht="15" hidden="false" customHeight="false" outlineLevel="0" collapsed="false">
      <c r="A95" s="14"/>
      <c r="B95" s="5"/>
      <c r="C95" s="15" t="str">
        <f aca="false">IF(B95="","",IFERROR(INDEX('Mug Marks'!$A$5:$A$204,MATCH(B95,'Mug Marks'!$B$5:$B$204,0)),"(not on Mug Marks)"))</f>
        <v/>
      </c>
      <c r="D95" s="6"/>
      <c r="E95" s="4"/>
      <c r="F95" s="4"/>
      <c r="G95" s="8" t="str">
        <f aca="false">IF(A95="","",A95+Settings!$B$6/24)</f>
        <v/>
      </c>
    </row>
    <row r="96" customFormat="false" ht="15" hidden="false" customHeight="false" outlineLevel="0" collapsed="false">
      <c r="A96" s="14"/>
      <c r="B96" s="5"/>
      <c r="C96" s="15" t="str">
        <f aca="false">IF(B96="","",IFERROR(INDEX('Mug Marks'!$A$5:$A$204,MATCH(B96,'Mug Marks'!$B$5:$B$204,0)),"(not on Mug Marks)"))</f>
        <v/>
      </c>
      <c r="D96" s="6"/>
      <c r="E96" s="4"/>
      <c r="F96" s="4"/>
      <c r="G96" s="8" t="str">
        <f aca="false">IF(A96="","",A96+Settings!$B$6/24)</f>
        <v/>
      </c>
    </row>
    <row r="97" customFormat="false" ht="15" hidden="false" customHeight="false" outlineLevel="0" collapsed="false">
      <c r="A97" s="14"/>
      <c r="B97" s="5"/>
      <c r="C97" s="15" t="str">
        <f aca="false">IF(B97="","",IFERROR(INDEX('Mug Marks'!$A$5:$A$204,MATCH(B97,'Mug Marks'!$B$5:$B$204,0)),"(not on Mug Marks)"))</f>
        <v/>
      </c>
      <c r="D97" s="6"/>
      <c r="E97" s="4"/>
      <c r="F97" s="4"/>
      <c r="G97" s="8" t="str">
        <f aca="false">IF(A97="","",A97+Settings!$B$6/24)</f>
        <v/>
      </c>
    </row>
    <row r="98" customFormat="false" ht="15" hidden="false" customHeight="false" outlineLevel="0" collapsed="false">
      <c r="A98" s="14"/>
      <c r="B98" s="5"/>
      <c r="C98" s="15" t="str">
        <f aca="false">IF(B98="","",IFERROR(INDEX('Mug Marks'!$A$5:$A$204,MATCH(B98,'Mug Marks'!$B$5:$B$204,0)),"(not on Mug Marks)"))</f>
        <v/>
      </c>
      <c r="D98" s="6"/>
      <c r="E98" s="4"/>
      <c r="F98" s="4"/>
      <c r="G98" s="8" t="str">
        <f aca="false">IF(A98="","",A98+Settings!$B$6/24)</f>
        <v/>
      </c>
    </row>
    <row r="99" customFormat="false" ht="15" hidden="false" customHeight="false" outlineLevel="0" collapsed="false">
      <c r="A99" s="14"/>
      <c r="B99" s="5"/>
      <c r="C99" s="15" t="str">
        <f aca="false">IF(B99="","",IFERROR(INDEX('Mug Marks'!$A$5:$A$204,MATCH(B99,'Mug Marks'!$B$5:$B$204,0)),"(not on Mug Marks)"))</f>
        <v/>
      </c>
      <c r="D99" s="6"/>
      <c r="E99" s="4"/>
      <c r="F99" s="4"/>
      <c r="G99" s="8" t="str">
        <f aca="false">IF(A99="","",A99+Settings!$B$6/24)</f>
        <v/>
      </c>
    </row>
    <row r="100" customFormat="false" ht="15" hidden="false" customHeight="false" outlineLevel="0" collapsed="false">
      <c r="A100" s="14"/>
      <c r="B100" s="5"/>
      <c r="C100" s="15" t="str">
        <f aca="false">IF(B100="","",IFERROR(INDEX('Mug Marks'!$A$5:$A$204,MATCH(B100,'Mug Marks'!$B$5:$B$204,0)),"(not on Mug Marks)"))</f>
        <v/>
      </c>
      <c r="D100" s="6"/>
      <c r="E100" s="4"/>
      <c r="F100" s="4"/>
      <c r="G100" s="8" t="str">
        <f aca="false">IF(A100="","",A100+Settings!$B$6/24)</f>
        <v/>
      </c>
    </row>
    <row r="101" customFormat="false" ht="15" hidden="false" customHeight="false" outlineLevel="0" collapsed="false">
      <c r="A101" s="14"/>
      <c r="B101" s="5"/>
      <c r="C101" s="15" t="str">
        <f aca="false">IF(B101="","",IFERROR(INDEX('Mug Marks'!$A$5:$A$204,MATCH(B101,'Mug Marks'!$B$5:$B$204,0)),"(not on Mug Marks)"))</f>
        <v/>
      </c>
      <c r="D101" s="6"/>
      <c r="E101" s="4"/>
      <c r="F101" s="4"/>
      <c r="G101" s="8" t="str">
        <f aca="false">IF(A101="","",A101+Settings!$B$6/24)</f>
        <v/>
      </c>
    </row>
    <row r="102" customFormat="false" ht="15" hidden="false" customHeight="false" outlineLevel="0" collapsed="false">
      <c r="A102" s="14"/>
      <c r="B102" s="5"/>
      <c r="C102" s="15" t="str">
        <f aca="false">IF(B102="","",IFERROR(INDEX('Mug Marks'!$A$5:$A$204,MATCH(B102,'Mug Marks'!$B$5:$B$204,0)),"(not on Mug Marks)"))</f>
        <v/>
      </c>
      <c r="D102" s="6"/>
      <c r="E102" s="4"/>
      <c r="F102" s="4"/>
      <c r="G102" s="8" t="str">
        <f aca="false">IF(A102="","",A102+Settings!$B$6/24)</f>
        <v/>
      </c>
    </row>
    <row r="103" customFormat="false" ht="15" hidden="false" customHeight="false" outlineLevel="0" collapsed="false">
      <c r="A103" s="14"/>
      <c r="B103" s="5"/>
      <c r="C103" s="15" t="str">
        <f aca="false">IF(B103="","",IFERROR(INDEX('Mug Marks'!$A$5:$A$204,MATCH(B103,'Mug Marks'!$B$5:$B$204,0)),"(not on Mug Marks)"))</f>
        <v/>
      </c>
      <c r="D103" s="6"/>
      <c r="E103" s="4"/>
      <c r="F103" s="4"/>
      <c r="G103" s="8" t="str">
        <f aca="false">IF(A103="","",A103+Settings!$B$6/24)</f>
        <v/>
      </c>
    </row>
    <row r="104" customFormat="false" ht="15" hidden="false" customHeight="false" outlineLevel="0" collapsed="false">
      <c r="A104" s="14"/>
      <c r="B104" s="5"/>
      <c r="C104" s="15" t="str">
        <f aca="false">IF(B104="","",IFERROR(INDEX('Mug Marks'!$A$5:$A$204,MATCH(B104,'Mug Marks'!$B$5:$B$204,0)),"(not on Mug Marks)"))</f>
        <v/>
      </c>
      <c r="D104" s="6"/>
      <c r="E104" s="4"/>
      <c r="F104" s="4"/>
      <c r="G104" s="8" t="str">
        <f aca="false">IF(A104="","",A104+Settings!$B$6/24)</f>
        <v/>
      </c>
    </row>
    <row r="105" customFormat="false" ht="15" hidden="false" customHeight="false" outlineLevel="0" collapsed="false">
      <c r="A105" s="14"/>
      <c r="B105" s="5"/>
      <c r="C105" s="15" t="str">
        <f aca="false">IF(B105="","",IFERROR(INDEX('Mug Marks'!$A$5:$A$204,MATCH(B105,'Mug Marks'!$B$5:$B$204,0)),"(not on Mug Marks)"))</f>
        <v/>
      </c>
      <c r="D105" s="6"/>
      <c r="E105" s="4"/>
      <c r="F105" s="4"/>
      <c r="G105" s="8" t="str">
        <f aca="false">IF(A105="","",A105+Settings!$B$6/24)</f>
        <v/>
      </c>
    </row>
    <row r="106" customFormat="false" ht="15" hidden="false" customHeight="false" outlineLevel="0" collapsed="false">
      <c r="A106" s="14"/>
      <c r="B106" s="5"/>
      <c r="C106" s="15" t="str">
        <f aca="false">IF(B106="","",IFERROR(INDEX('Mug Marks'!$A$5:$A$204,MATCH(B106,'Mug Marks'!$B$5:$B$204,0)),"(not on Mug Marks)"))</f>
        <v/>
      </c>
      <c r="D106" s="6"/>
      <c r="E106" s="4"/>
      <c r="F106" s="4"/>
      <c r="G106" s="8" t="str">
        <f aca="false">IF(A106="","",A106+Settings!$B$6/24)</f>
        <v/>
      </c>
    </row>
    <row r="107" customFormat="false" ht="15" hidden="false" customHeight="false" outlineLevel="0" collapsed="false">
      <c r="A107" s="14"/>
      <c r="B107" s="5"/>
      <c r="C107" s="15" t="str">
        <f aca="false">IF(B107="","",IFERROR(INDEX('Mug Marks'!$A$5:$A$204,MATCH(B107,'Mug Marks'!$B$5:$B$204,0)),"(not on Mug Marks)"))</f>
        <v/>
      </c>
      <c r="D107" s="6"/>
      <c r="E107" s="4"/>
      <c r="F107" s="4"/>
      <c r="G107" s="8" t="str">
        <f aca="false">IF(A107="","",A107+Settings!$B$6/24)</f>
        <v/>
      </c>
    </row>
    <row r="108" customFormat="false" ht="15" hidden="false" customHeight="false" outlineLevel="0" collapsed="false">
      <c r="A108" s="14"/>
      <c r="B108" s="5"/>
      <c r="C108" s="15" t="str">
        <f aca="false">IF(B108="","",IFERROR(INDEX('Mug Marks'!$A$5:$A$204,MATCH(B108,'Mug Marks'!$B$5:$B$204,0)),"(not on Mug Marks)"))</f>
        <v/>
      </c>
      <c r="D108" s="6"/>
      <c r="E108" s="4"/>
      <c r="F108" s="4"/>
      <c r="G108" s="8" t="str">
        <f aca="false">IF(A108="","",A108+Settings!$B$6/24)</f>
        <v/>
      </c>
    </row>
    <row r="109" customFormat="false" ht="15" hidden="false" customHeight="false" outlineLevel="0" collapsed="false">
      <c r="A109" s="14"/>
      <c r="B109" s="5"/>
      <c r="C109" s="15" t="str">
        <f aca="false">IF(B109="","",IFERROR(INDEX('Mug Marks'!$A$5:$A$204,MATCH(B109,'Mug Marks'!$B$5:$B$204,0)),"(not on Mug Marks)"))</f>
        <v/>
      </c>
      <c r="D109" s="6"/>
      <c r="E109" s="4"/>
      <c r="F109" s="4"/>
      <c r="G109" s="8" t="str">
        <f aca="false">IF(A109="","",A109+Settings!$B$6/24)</f>
        <v/>
      </c>
    </row>
    <row r="110" customFormat="false" ht="15" hidden="false" customHeight="false" outlineLevel="0" collapsed="false">
      <c r="A110" s="14"/>
      <c r="B110" s="5"/>
      <c r="C110" s="15" t="str">
        <f aca="false">IF(B110="","",IFERROR(INDEX('Mug Marks'!$A$5:$A$204,MATCH(B110,'Mug Marks'!$B$5:$B$204,0)),"(not on Mug Marks)"))</f>
        <v/>
      </c>
      <c r="D110" s="6"/>
      <c r="E110" s="4"/>
      <c r="F110" s="4"/>
      <c r="G110" s="8" t="str">
        <f aca="false">IF(A110="","",A110+Settings!$B$6/24)</f>
        <v/>
      </c>
    </row>
    <row r="111" customFormat="false" ht="15" hidden="false" customHeight="false" outlineLevel="0" collapsed="false">
      <c r="A111" s="14"/>
      <c r="B111" s="5"/>
      <c r="C111" s="15" t="str">
        <f aca="false">IF(B111="","",IFERROR(INDEX('Mug Marks'!$A$5:$A$204,MATCH(B111,'Mug Marks'!$B$5:$B$204,0)),"(not on Mug Marks)"))</f>
        <v/>
      </c>
      <c r="D111" s="6"/>
      <c r="E111" s="4"/>
      <c r="F111" s="4"/>
      <c r="G111" s="8" t="str">
        <f aca="false">IF(A111="","",A111+Settings!$B$6/24)</f>
        <v/>
      </c>
    </row>
    <row r="112" customFormat="false" ht="15" hidden="false" customHeight="false" outlineLevel="0" collapsed="false">
      <c r="A112" s="14"/>
      <c r="B112" s="5"/>
      <c r="C112" s="15" t="str">
        <f aca="false">IF(B112="","",IFERROR(INDEX('Mug Marks'!$A$5:$A$204,MATCH(B112,'Mug Marks'!$B$5:$B$204,0)),"(not on Mug Marks)"))</f>
        <v/>
      </c>
      <c r="D112" s="6"/>
      <c r="E112" s="4"/>
      <c r="F112" s="4"/>
      <c r="G112" s="8" t="str">
        <f aca="false">IF(A112="","",A112+Settings!$B$6/24)</f>
        <v/>
      </c>
    </row>
    <row r="113" customFormat="false" ht="15" hidden="false" customHeight="false" outlineLevel="0" collapsed="false">
      <c r="A113" s="14"/>
      <c r="B113" s="5"/>
      <c r="C113" s="15" t="str">
        <f aca="false">IF(B113="","",IFERROR(INDEX('Mug Marks'!$A$5:$A$204,MATCH(B113,'Mug Marks'!$B$5:$B$204,0)),"(not on Mug Marks)"))</f>
        <v/>
      </c>
      <c r="D113" s="6"/>
      <c r="E113" s="4"/>
      <c r="F113" s="4"/>
      <c r="G113" s="8" t="str">
        <f aca="false">IF(A113="","",A113+Settings!$B$6/24)</f>
        <v/>
      </c>
    </row>
    <row r="114" customFormat="false" ht="15" hidden="false" customHeight="false" outlineLevel="0" collapsed="false">
      <c r="A114" s="14"/>
      <c r="B114" s="5"/>
      <c r="C114" s="15" t="str">
        <f aca="false">IF(B114="","",IFERROR(INDEX('Mug Marks'!$A$5:$A$204,MATCH(B114,'Mug Marks'!$B$5:$B$204,0)),"(not on Mug Marks)"))</f>
        <v/>
      </c>
      <c r="D114" s="6"/>
      <c r="E114" s="4"/>
      <c r="F114" s="4"/>
      <c r="G114" s="8" t="str">
        <f aca="false">IF(A114="","",A114+Settings!$B$6/24)</f>
        <v/>
      </c>
    </row>
    <row r="115" customFormat="false" ht="15" hidden="false" customHeight="false" outlineLevel="0" collapsed="false">
      <c r="A115" s="14"/>
      <c r="B115" s="5"/>
      <c r="C115" s="15" t="str">
        <f aca="false">IF(B115="","",IFERROR(INDEX('Mug Marks'!$A$5:$A$204,MATCH(B115,'Mug Marks'!$B$5:$B$204,0)),"(not on Mug Marks)"))</f>
        <v/>
      </c>
      <c r="D115" s="6"/>
      <c r="E115" s="4"/>
      <c r="F115" s="4"/>
      <c r="G115" s="8" t="str">
        <f aca="false">IF(A115="","",A115+Settings!$B$6/24)</f>
        <v/>
      </c>
    </row>
    <row r="116" customFormat="false" ht="15" hidden="false" customHeight="false" outlineLevel="0" collapsed="false">
      <c r="A116" s="14"/>
      <c r="B116" s="5"/>
      <c r="C116" s="15" t="str">
        <f aca="false">IF(B116="","",IFERROR(INDEX('Mug Marks'!$A$5:$A$204,MATCH(B116,'Mug Marks'!$B$5:$B$204,0)),"(not on Mug Marks)"))</f>
        <v/>
      </c>
      <c r="D116" s="6"/>
      <c r="E116" s="4"/>
      <c r="F116" s="4"/>
      <c r="G116" s="8" t="str">
        <f aca="false">IF(A116="","",A116+Settings!$B$6/24)</f>
        <v/>
      </c>
    </row>
    <row r="117" customFormat="false" ht="15" hidden="false" customHeight="false" outlineLevel="0" collapsed="false">
      <c r="A117" s="14"/>
      <c r="B117" s="5"/>
      <c r="C117" s="15" t="str">
        <f aca="false">IF(B117="","",IFERROR(INDEX('Mug Marks'!$A$5:$A$204,MATCH(B117,'Mug Marks'!$B$5:$B$204,0)),"(not on Mug Marks)"))</f>
        <v/>
      </c>
      <c r="D117" s="6"/>
      <c r="E117" s="4"/>
      <c r="F117" s="4"/>
      <c r="G117" s="8" t="str">
        <f aca="false">IF(A117="","",A117+Settings!$B$6/24)</f>
        <v/>
      </c>
    </row>
    <row r="118" customFormat="false" ht="15" hidden="false" customHeight="false" outlineLevel="0" collapsed="false">
      <c r="A118" s="14"/>
      <c r="B118" s="5"/>
      <c r="C118" s="15" t="str">
        <f aca="false">IF(B118="","",IFERROR(INDEX('Mug Marks'!$A$5:$A$204,MATCH(B118,'Mug Marks'!$B$5:$B$204,0)),"(not on Mug Marks)"))</f>
        <v/>
      </c>
      <c r="D118" s="6"/>
      <c r="E118" s="4"/>
      <c r="F118" s="4"/>
      <c r="G118" s="8" t="str">
        <f aca="false">IF(A118="","",A118+Settings!$B$6/24)</f>
        <v/>
      </c>
    </row>
    <row r="119" customFormat="false" ht="15" hidden="false" customHeight="false" outlineLevel="0" collapsed="false">
      <c r="A119" s="14"/>
      <c r="B119" s="5"/>
      <c r="C119" s="15" t="str">
        <f aca="false">IF(B119="","",IFERROR(INDEX('Mug Marks'!$A$5:$A$204,MATCH(B119,'Mug Marks'!$B$5:$B$204,0)),"(not on Mug Marks)"))</f>
        <v/>
      </c>
      <c r="D119" s="6"/>
      <c r="E119" s="4"/>
      <c r="F119" s="4"/>
      <c r="G119" s="8" t="str">
        <f aca="false">IF(A119="","",A119+Settings!$B$6/24)</f>
        <v/>
      </c>
    </row>
    <row r="120" customFormat="false" ht="15" hidden="false" customHeight="false" outlineLevel="0" collapsed="false">
      <c r="A120" s="14"/>
      <c r="B120" s="5"/>
      <c r="C120" s="15" t="str">
        <f aca="false">IF(B120="","",IFERROR(INDEX('Mug Marks'!$A$5:$A$204,MATCH(B120,'Mug Marks'!$B$5:$B$204,0)),"(not on Mug Marks)"))</f>
        <v/>
      </c>
      <c r="D120" s="6"/>
      <c r="E120" s="4"/>
      <c r="F120" s="4"/>
      <c r="G120" s="8" t="str">
        <f aca="false">IF(A120="","",A120+Settings!$B$6/24)</f>
        <v/>
      </c>
    </row>
    <row r="121" customFormat="false" ht="15" hidden="false" customHeight="false" outlineLevel="0" collapsed="false">
      <c r="A121" s="14"/>
      <c r="B121" s="5"/>
      <c r="C121" s="15" t="str">
        <f aca="false">IF(B121="","",IFERROR(INDEX('Mug Marks'!$A$5:$A$204,MATCH(B121,'Mug Marks'!$B$5:$B$204,0)),"(not on Mug Marks)"))</f>
        <v/>
      </c>
      <c r="D121" s="6"/>
      <c r="E121" s="4"/>
      <c r="F121" s="4"/>
      <c r="G121" s="8" t="str">
        <f aca="false">IF(A121="","",A121+Settings!$B$6/24)</f>
        <v/>
      </c>
    </row>
    <row r="122" customFormat="false" ht="15" hidden="false" customHeight="false" outlineLevel="0" collapsed="false">
      <c r="A122" s="14"/>
      <c r="B122" s="5"/>
      <c r="C122" s="15" t="str">
        <f aca="false">IF(B122="","",IFERROR(INDEX('Mug Marks'!$A$5:$A$204,MATCH(B122,'Mug Marks'!$B$5:$B$204,0)),"(not on Mug Marks)"))</f>
        <v/>
      </c>
      <c r="D122" s="6"/>
      <c r="E122" s="4"/>
      <c r="F122" s="4"/>
      <c r="G122" s="8" t="str">
        <f aca="false">IF(A122="","",A122+Settings!$B$6/24)</f>
        <v/>
      </c>
    </row>
    <row r="123" customFormat="false" ht="15" hidden="false" customHeight="false" outlineLevel="0" collapsed="false">
      <c r="A123" s="14"/>
      <c r="B123" s="5"/>
      <c r="C123" s="15" t="str">
        <f aca="false">IF(B123="","",IFERROR(INDEX('Mug Marks'!$A$5:$A$204,MATCH(B123,'Mug Marks'!$B$5:$B$204,0)),"(not on Mug Marks)"))</f>
        <v/>
      </c>
      <c r="D123" s="6"/>
      <c r="E123" s="4"/>
      <c r="F123" s="4"/>
      <c r="G123" s="8" t="str">
        <f aca="false">IF(A123="","",A123+Settings!$B$6/24)</f>
        <v/>
      </c>
    </row>
    <row r="124" customFormat="false" ht="15" hidden="false" customHeight="false" outlineLevel="0" collapsed="false">
      <c r="A124" s="14"/>
      <c r="B124" s="5"/>
      <c r="C124" s="15" t="str">
        <f aca="false">IF(B124="","",IFERROR(INDEX('Mug Marks'!$A$5:$A$204,MATCH(B124,'Mug Marks'!$B$5:$B$204,0)),"(not on Mug Marks)"))</f>
        <v/>
      </c>
      <c r="D124" s="6"/>
      <c r="E124" s="4"/>
      <c r="F124" s="4"/>
      <c r="G124" s="8" t="str">
        <f aca="false">IF(A124="","",A124+Settings!$B$6/24)</f>
        <v/>
      </c>
    </row>
    <row r="125" customFormat="false" ht="15" hidden="false" customHeight="false" outlineLevel="0" collapsed="false">
      <c r="A125" s="14"/>
      <c r="B125" s="5"/>
      <c r="C125" s="15" t="str">
        <f aca="false">IF(B125="","",IFERROR(INDEX('Mug Marks'!$A$5:$A$204,MATCH(B125,'Mug Marks'!$B$5:$B$204,0)),"(not on Mug Marks)"))</f>
        <v/>
      </c>
      <c r="D125" s="6"/>
      <c r="E125" s="4"/>
      <c r="F125" s="4"/>
      <c r="G125" s="8" t="str">
        <f aca="false">IF(A125="","",A125+Settings!$B$6/24)</f>
        <v/>
      </c>
    </row>
    <row r="126" customFormat="false" ht="15" hidden="false" customHeight="false" outlineLevel="0" collapsed="false">
      <c r="A126" s="14"/>
      <c r="B126" s="5"/>
      <c r="C126" s="15" t="str">
        <f aca="false">IF(B126="","",IFERROR(INDEX('Mug Marks'!$A$5:$A$204,MATCH(B126,'Mug Marks'!$B$5:$B$204,0)),"(not on Mug Marks)"))</f>
        <v/>
      </c>
      <c r="D126" s="6"/>
      <c r="E126" s="4"/>
      <c r="F126" s="4"/>
      <c r="G126" s="8" t="str">
        <f aca="false">IF(A126="","",A126+Settings!$B$6/24)</f>
        <v/>
      </c>
    </row>
    <row r="127" customFormat="false" ht="15" hidden="false" customHeight="false" outlineLevel="0" collapsed="false">
      <c r="A127" s="14"/>
      <c r="B127" s="5"/>
      <c r="C127" s="15" t="str">
        <f aca="false">IF(B127="","",IFERROR(INDEX('Mug Marks'!$A$5:$A$204,MATCH(B127,'Mug Marks'!$B$5:$B$204,0)),"(not on Mug Marks)"))</f>
        <v/>
      </c>
      <c r="D127" s="6"/>
      <c r="E127" s="4"/>
      <c r="F127" s="4"/>
      <c r="G127" s="8" t="str">
        <f aca="false">IF(A127="","",A127+Settings!$B$6/24)</f>
        <v/>
      </c>
    </row>
    <row r="128" customFormat="false" ht="15" hidden="false" customHeight="false" outlineLevel="0" collapsed="false">
      <c r="A128" s="14"/>
      <c r="B128" s="5"/>
      <c r="C128" s="15" t="str">
        <f aca="false">IF(B128="","",IFERROR(INDEX('Mug Marks'!$A$5:$A$204,MATCH(B128,'Mug Marks'!$B$5:$B$204,0)),"(not on Mug Marks)"))</f>
        <v/>
      </c>
      <c r="D128" s="6"/>
      <c r="E128" s="4"/>
      <c r="F128" s="4"/>
      <c r="G128" s="8" t="str">
        <f aca="false">IF(A128="","",A128+Settings!$B$6/24)</f>
        <v/>
      </c>
    </row>
    <row r="129" customFormat="false" ht="15" hidden="false" customHeight="false" outlineLevel="0" collapsed="false">
      <c r="A129" s="14"/>
      <c r="B129" s="5"/>
      <c r="C129" s="15" t="str">
        <f aca="false">IF(B129="","",IFERROR(INDEX('Mug Marks'!$A$5:$A$204,MATCH(B129,'Mug Marks'!$B$5:$B$204,0)),"(not on Mug Marks)"))</f>
        <v/>
      </c>
      <c r="D129" s="6"/>
      <c r="E129" s="4"/>
      <c r="F129" s="4"/>
      <c r="G129" s="8" t="str">
        <f aca="false">IF(A129="","",A129+Settings!$B$6/24)</f>
        <v/>
      </c>
    </row>
    <row r="130" customFormat="false" ht="15" hidden="false" customHeight="false" outlineLevel="0" collapsed="false">
      <c r="A130" s="14"/>
      <c r="B130" s="5"/>
      <c r="C130" s="15" t="str">
        <f aca="false">IF(B130="","",IFERROR(INDEX('Mug Marks'!$A$5:$A$204,MATCH(B130,'Mug Marks'!$B$5:$B$204,0)),"(not on Mug Marks)"))</f>
        <v/>
      </c>
      <c r="D130" s="6"/>
      <c r="E130" s="4"/>
      <c r="F130" s="4"/>
      <c r="G130" s="8" t="str">
        <f aca="false">IF(A130="","",A130+Settings!$B$6/24)</f>
        <v/>
      </c>
    </row>
    <row r="131" customFormat="false" ht="15" hidden="false" customHeight="false" outlineLevel="0" collapsed="false">
      <c r="A131" s="14"/>
      <c r="B131" s="5"/>
      <c r="C131" s="15" t="str">
        <f aca="false">IF(B131="","",IFERROR(INDEX('Mug Marks'!$A$5:$A$204,MATCH(B131,'Mug Marks'!$B$5:$B$204,0)),"(not on Mug Marks)"))</f>
        <v/>
      </c>
      <c r="D131" s="6"/>
      <c r="E131" s="4"/>
      <c r="F131" s="4"/>
      <c r="G131" s="8" t="str">
        <f aca="false">IF(A131="","",A131+Settings!$B$6/24)</f>
        <v/>
      </c>
    </row>
    <row r="132" customFormat="false" ht="15" hidden="false" customHeight="false" outlineLevel="0" collapsed="false">
      <c r="A132" s="14"/>
      <c r="B132" s="5"/>
      <c r="C132" s="15" t="str">
        <f aca="false">IF(B132="","",IFERROR(INDEX('Mug Marks'!$A$5:$A$204,MATCH(B132,'Mug Marks'!$B$5:$B$204,0)),"(not on Mug Marks)"))</f>
        <v/>
      </c>
      <c r="D132" s="6"/>
      <c r="E132" s="4"/>
      <c r="F132" s="4"/>
      <c r="G132" s="8" t="str">
        <f aca="false">IF(A132="","",A132+Settings!$B$6/24)</f>
        <v/>
      </c>
    </row>
    <row r="133" customFormat="false" ht="15" hidden="false" customHeight="false" outlineLevel="0" collapsed="false">
      <c r="A133" s="14"/>
      <c r="B133" s="5"/>
      <c r="C133" s="15" t="str">
        <f aca="false">IF(B133="","",IFERROR(INDEX('Mug Marks'!$A$5:$A$204,MATCH(B133,'Mug Marks'!$B$5:$B$204,0)),"(not on Mug Marks)"))</f>
        <v/>
      </c>
      <c r="D133" s="6"/>
      <c r="E133" s="4"/>
      <c r="F133" s="4"/>
      <c r="G133" s="8" t="str">
        <f aca="false">IF(A133="","",A133+Settings!$B$6/24)</f>
        <v/>
      </c>
    </row>
    <row r="134" customFormat="false" ht="15" hidden="false" customHeight="false" outlineLevel="0" collapsed="false">
      <c r="A134" s="14"/>
      <c r="B134" s="5"/>
      <c r="C134" s="15" t="str">
        <f aca="false">IF(B134="","",IFERROR(INDEX('Mug Marks'!$A$5:$A$204,MATCH(B134,'Mug Marks'!$B$5:$B$204,0)),"(not on Mug Marks)"))</f>
        <v/>
      </c>
      <c r="D134" s="6"/>
      <c r="E134" s="4"/>
      <c r="F134" s="4"/>
      <c r="G134" s="8" t="str">
        <f aca="false">IF(A134="","",A134+Settings!$B$6/24)</f>
        <v/>
      </c>
    </row>
    <row r="135" customFormat="false" ht="15" hidden="false" customHeight="false" outlineLevel="0" collapsed="false">
      <c r="A135" s="14"/>
      <c r="B135" s="5"/>
      <c r="C135" s="15" t="str">
        <f aca="false">IF(B135="","",IFERROR(INDEX('Mug Marks'!$A$5:$A$204,MATCH(B135,'Mug Marks'!$B$5:$B$204,0)),"(not on Mug Marks)"))</f>
        <v/>
      </c>
      <c r="D135" s="6"/>
      <c r="E135" s="4"/>
      <c r="F135" s="4"/>
      <c r="G135" s="8" t="str">
        <f aca="false">IF(A135="","",A135+Settings!$B$6/24)</f>
        <v/>
      </c>
    </row>
    <row r="136" customFormat="false" ht="15" hidden="false" customHeight="false" outlineLevel="0" collapsed="false">
      <c r="A136" s="14"/>
      <c r="B136" s="5"/>
      <c r="C136" s="15" t="str">
        <f aca="false">IF(B136="","",IFERROR(INDEX('Mug Marks'!$A$5:$A$204,MATCH(B136,'Mug Marks'!$B$5:$B$204,0)),"(not on Mug Marks)"))</f>
        <v/>
      </c>
      <c r="D136" s="6"/>
      <c r="E136" s="4"/>
      <c r="F136" s="4"/>
      <c r="G136" s="8" t="str">
        <f aca="false">IF(A136="","",A136+Settings!$B$6/24)</f>
        <v/>
      </c>
    </row>
    <row r="137" customFormat="false" ht="15" hidden="false" customHeight="false" outlineLevel="0" collapsed="false">
      <c r="A137" s="14"/>
      <c r="B137" s="5"/>
      <c r="C137" s="15" t="str">
        <f aca="false">IF(B137="","",IFERROR(INDEX('Mug Marks'!$A$5:$A$204,MATCH(B137,'Mug Marks'!$B$5:$B$204,0)),"(not on Mug Marks)"))</f>
        <v/>
      </c>
      <c r="D137" s="6"/>
      <c r="E137" s="4"/>
      <c r="F137" s="4"/>
      <c r="G137" s="8" t="str">
        <f aca="false">IF(A137="","",A137+Settings!$B$6/24)</f>
        <v/>
      </c>
    </row>
    <row r="138" customFormat="false" ht="15" hidden="false" customHeight="false" outlineLevel="0" collapsed="false">
      <c r="A138" s="14"/>
      <c r="B138" s="5"/>
      <c r="C138" s="15" t="str">
        <f aca="false">IF(B138="","",IFERROR(INDEX('Mug Marks'!$A$5:$A$204,MATCH(B138,'Mug Marks'!$B$5:$B$204,0)),"(not on Mug Marks)"))</f>
        <v/>
      </c>
      <c r="D138" s="6"/>
      <c r="E138" s="4"/>
      <c r="F138" s="4"/>
      <c r="G138" s="8" t="str">
        <f aca="false">IF(A138="","",A138+Settings!$B$6/24)</f>
        <v/>
      </c>
    </row>
    <row r="139" customFormat="false" ht="15" hidden="false" customHeight="false" outlineLevel="0" collapsed="false">
      <c r="A139" s="14"/>
      <c r="B139" s="5"/>
      <c r="C139" s="15" t="str">
        <f aca="false">IF(B139="","",IFERROR(INDEX('Mug Marks'!$A$5:$A$204,MATCH(B139,'Mug Marks'!$B$5:$B$204,0)),"(not on Mug Marks)"))</f>
        <v/>
      </c>
      <c r="D139" s="6"/>
      <c r="E139" s="4"/>
      <c r="F139" s="4"/>
      <c r="G139" s="8" t="str">
        <f aca="false">IF(A139="","",A139+Settings!$B$6/24)</f>
        <v/>
      </c>
    </row>
    <row r="140" customFormat="false" ht="15" hidden="false" customHeight="false" outlineLevel="0" collapsed="false">
      <c r="A140" s="14"/>
      <c r="B140" s="5"/>
      <c r="C140" s="15" t="str">
        <f aca="false">IF(B140="","",IFERROR(INDEX('Mug Marks'!$A$5:$A$204,MATCH(B140,'Mug Marks'!$B$5:$B$204,0)),"(not on Mug Marks)"))</f>
        <v/>
      </c>
      <c r="D140" s="6"/>
      <c r="E140" s="4"/>
      <c r="F140" s="4"/>
      <c r="G140" s="8" t="str">
        <f aca="false">IF(A140="","",A140+Settings!$B$6/24)</f>
        <v/>
      </c>
    </row>
    <row r="141" customFormat="false" ht="15" hidden="false" customHeight="false" outlineLevel="0" collapsed="false">
      <c r="A141" s="14"/>
      <c r="B141" s="5"/>
      <c r="C141" s="15" t="str">
        <f aca="false">IF(B141="","",IFERROR(INDEX('Mug Marks'!$A$5:$A$204,MATCH(B141,'Mug Marks'!$B$5:$B$204,0)),"(not on Mug Marks)"))</f>
        <v/>
      </c>
      <c r="D141" s="6"/>
      <c r="E141" s="4"/>
      <c r="F141" s="4"/>
      <c r="G141" s="8" t="str">
        <f aca="false">IF(A141="","",A141+Settings!$B$6/24)</f>
        <v/>
      </c>
    </row>
    <row r="142" customFormat="false" ht="15" hidden="false" customHeight="false" outlineLevel="0" collapsed="false">
      <c r="A142" s="14"/>
      <c r="B142" s="5"/>
      <c r="C142" s="15" t="str">
        <f aca="false">IF(B142="","",IFERROR(INDEX('Mug Marks'!$A$5:$A$204,MATCH(B142,'Mug Marks'!$B$5:$B$204,0)),"(not on Mug Marks)"))</f>
        <v/>
      </c>
      <c r="D142" s="6"/>
      <c r="E142" s="4"/>
      <c r="F142" s="4"/>
      <c r="G142" s="8" t="str">
        <f aca="false">IF(A142="","",A142+Settings!$B$6/24)</f>
        <v/>
      </c>
    </row>
    <row r="143" customFormat="false" ht="15" hidden="false" customHeight="false" outlineLevel="0" collapsed="false">
      <c r="A143" s="14"/>
      <c r="B143" s="5"/>
      <c r="C143" s="15" t="str">
        <f aca="false">IF(B143="","",IFERROR(INDEX('Mug Marks'!$A$5:$A$204,MATCH(B143,'Mug Marks'!$B$5:$B$204,0)),"(not on Mug Marks)"))</f>
        <v/>
      </c>
      <c r="D143" s="6"/>
      <c r="E143" s="4"/>
      <c r="F143" s="4"/>
      <c r="G143" s="8" t="str">
        <f aca="false">IF(A143="","",A143+Settings!$B$6/24)</f>
        <v/>
      </c>
    </row>
    <row r="144" customFormat="false" ht="15" hidden="false" customHeight="false" outlineLevel="0" collapsed="false">
      <c r="A144" s="14"/>
      <c r="B144" s="5"/>
      <c r="C144" s="15" t="str">
        <f aca="false">IF(B144="","",IFERROR(INDEX('Mug Marks'!$A$5:$A$204,MATCH(B144,'Mug Marks'!$B$5:$B$204,0)),"(not on Mug Marks)"))</f>
        <v/>
      </c>
      <c r="D144" s="6"/>
      <c r="E144" s="4"/>
      <c r="F144" s="4"/>
      <c r="G144" s="8" t="str">
        <f aca="false">IF(A144="","",A144+Settings!$B$6/24)</f>
        <v/>
      </c>
    </row>
    <row r="145" customFormat="false" ht="15" hidden="false" customHeight="false" outlineLevel="0" collapsed="false">
      <c r="A145" s="14"/>
      <c r="B145" s="5"/>
      <c r="C145" s="15" t="str">
        <f aca="false">IF(B145="","",IFERROR(INDEX('Mug Marks'!$A$5:$A$204,MATCH(B145,'Mug Marks'!$B$5:$B$204,0)),"(not on Mug Marks)"))</f>
        <v/>
      </c>
      <c r="D145" s="6"/>
      <c r="E145" s="4"/>
      <c r="F145" s="4"/>
      <c r="G145" s="8" t="str">
        <f aca="false">IF(A145="","",A145+Settings!$B$6/24)</f>
        <v/>
      </c>
    </row>
    <row r="146" customFormat="false" ht="15" hidden="false" customHeight="false" outlineLevel="0" collapsed="false">
      <c r="A146" s="14"/>
      <c r="B146" s="5"/>
      <c r="C146" s="15" t="str">
        <f aca="false">IF(B146="","",IFERROR(INDEX('Mug Marks'!$A$5:$A$204,MATCH(B146,'Mug Marks'!$B$5:$B$204,0)),"(not on Mug Marks)"))</f>
        <v/>
      </c>
      <c r="D146" s="6"/>
      <c r="E146" s="4"/>
      <c r="F146" s="4"/>
      <c r="G146" s="8" t="str">
        <f aca="false">IF(A146="","",A146+Settings!$B$6/24)</f>
        <v/>
      </c>
    </row>
    <row r="147" customFormat="false" ht="15" hidden="false" customHeight="false" outlineLevel="0" collapsed="false">
      <c r="A147" s="14"/>
      <c r="B147" s="5"/>
      <c r="C147" s="15" t="str">
        <f aca="false">IF(B147="","",IFERROR(INDEX('Mug Marks'!$A$5:$A$204,MATCH(B147,'Mug Marks'!$B$5:$B$204,0)),"(not on Mug Marks)"))</f>
        <v/>
      </c>
      <c r="D147" s="6"/>
      <c r="E147" s="4"/>
      <c r="F147" s="4"/>
      <c r="G147" s="8" t="str">
        <f aca="false">IF(A147="","",A147+Settings!$B$6/24)</f>
        <v/>
      </c>
    </row>
    <row r="148" customFormat="false" ht="15" hidden="false" customHeight="false" outlineLevel="0" collapsed="false">
      <c r="A148" s="14"/>
      <c r="B148" s="5"/>
      <c r="C148" s="15" t="str">
        <f aca="false">IF(B148="","",IFERROR(INDEX('Mug Marks'!$A$5:$A$204,MATCH(B148,'Mug Marks'!$B$5:$B$204,0)),"(not on Mug Marks)"))</f>
        <v/>
      </c>
      <c r="D148" s="6"/>
      <c r="E148" s="4"/>
      <c r="F148" s="4"/>
      <c r="G148" s="8" t="str">
        <f aca="false">IF(A148="","",A148+Settings!$B$6/24)</f>
        <v/>
      </c>
    </row>
    <row r="149" customFormat="false" ht="15" hidden="false" customHeight="false" outlineLevel="0" collapsed="false">
      <c r="A149" s="14"/>
      <c r="B149" s="5"/>
      <c r="C149" s="15" t="str">
        <f aca="false">IF(B149="","",IFERROR(INDEX('Mug Marks'!$A$5:$A$204,MATCH(B149,'Mug Marks'!$B$5:$B$204,0)),"(not on Mug Marks)"))</f>
        <v/>
      </c>
      <c r="D149" s="6"/>
      <c r="E149" s="4"/>
      <c r="F149" s="4"/>
      <c r="G149" s="8" t="str">
        <f aca="false">IF(A149="","",A149+Settings!$B$6/24)</f>
        <v/>
      </c>
    </row>
    <row r="150" customFormat="false" ht="15" hidden="false" customHeight="false" outlineLevel="0" collapsed="false">
      <c r="A150" s="14"/>
      <c r="B150" s="5"/>
      <c r="C150" s="15" t="str">
        <f aca="false">IF(B150="","",IFERROR(INDEX('Mug Marks'!$A$5:$A$204,MATCH(B150,'Mug Marks'!$B$5:$B$204,0)),"(not on Mug Marks)"))</f>
        <v/>
      </c>
      <c r="D150" s="6"/>
      <c r="E150" s="4"/>
      <c r="F150" s="4"/>
      <c r="G150" s="8" t="str">
        <f aca="false">IF(A150="","",A150+Settings!$B$6/24)</f>
        <v/>
      </c>
    </row>
    <row r="151" customFormat="false" ht="15" hidden="false" customHeight="false" outlineLevel="0" collapsed="false">
      <c r="A151" s="14"/>
      <c r="B151" s="5"/>
      <c r="C151" s="15" t="str">
        <f aca="false">IF(B151="","",IFERROR(INDEX('Mug Marks'!$A$5:$A$204,MATCH(B151,'Mug Marks'!$B$5:$B$204,0)),"(not on Mug Marks)"))</f>
        <v/>
      </c>
      <c r="D151" s="6"/>
      <c r="E151" s="4"/>
      <c r="F151" s="4"/>
      <c r="G151" s="8" t="str">
        <f aca="false">IF(A151="","",A151+Settings!$B$6/24)</f>
        <v/>
      </c>
    </row>
    <row r="152" customFormat="false" ht="15" hidden="false" customHeight="false" outlineLevel="0" collapsed="false">
      <c r="A152" s="14"/>
      <c r="B152" s="5"/>
      <c r="C152" s="15" t="str">
        <f aca="false">IF(B152="","",IFERROR(INDEX('Mug Marks'!$A$5:$A$204,MATCH(B152,'Mug Marks'!$B$5:$B$204,0)),"(not on Mug Marks)"))</f>
        <v/>
      </c>
      <c r="D152" s="6"/>
      <c r="E152" s="4"/>
      <c r="F152" s="4"/>
      <c r="G152" s="8" t="str">
        <f aca="false">IF(A152="","",A152+Settings!$B$6/24)</f>
        <v/>
      </c>
    </row>
    <row r="153" customFormat="false" ht="15" hidden="false" customHeight="false" outlineLevel="0" collapsed="false">
      <c r="A153" s="14"/>
      <c r="B153" s="5"/>
      <c r="C153" s="15" t="str">
        <f aca="false">IF(B153="","",IFERROR(INDEX('Mug Marks'!$A$5:$A$204,MATCH(B153,'Mug Marks'!$B$5:$B$204,0)),"(not on Mug Marks)"))</f>
        <v/>
      </c>
      <c r="D153" s="6"/>
      <c r="E153" s="4"/>
      <c r="F153" s="4"/>
      <c r="G153" s="8" t="str">
        <f aca="false">IF(A153="","",A153+Settings!$B$6/24)</f>
        <v/>
      </c>
    </row>
    <row r="154" customFormat="false" ht="15" hidden="false" customHeight="false" outlineLevel="0" collapsed="false">
      <c r="A154" s="14"/>
      <c r="B154" s="5"/>
      <c r="C154" s="15" t="str">
        <f aca="false">IF(B154="","",IFERROR(INDEX('Mug Marks'!$A$5:$A$204,MATCH(B154,'Mug Marks'!$B$5:$B$204,0)),"(not on Mug Marks)"))</f>
        <v/>
      </c>
      <c r="D154" s="6"/>
      <c r="E154" s="4"/>
      <c r="F154" s="4"/>
      <c r="G154" s="8" t="str">
        <f aca="false">IF(A154="","",A154+Settings!$B$6/24)</f>
        <v/>
      </c>
    </row>
    <row r="155" customFormat="false" ht="15" hidden="false" customHeight="false" outlineLevel="0" collapsed="false">
      <c r="A155" s="14"/>
      <c r="B155" s="5"/>
      <c r="C155" s="15" t="str">
        <f aca="false">IF(B155="","",IFERROR(INDEX('Mug Marks'!$A$5:$A$204,MATCH(B155,'Mug Marks'!$B$5:$B$204,0)),"(not on Mug Marks)"))</f>
        <v/>
      </c>
      <c r="D155" s="6"/>
      <c r="E155" s="4"/>
      <c r="F155" s="4"/>
      <c r="G155" s="8" t="str">
        <f aca="false">IF(A155="","",A155+Settings!$B$6/24)</f>
        <v/>
      </c>
    </row>
    <row r="156" customFormat="false" ht="15" hidden="false" customHeight="false" outlineLevel="0" collapsed="false">
      <c r="A156" s="14"/>
      <c r="B156" s="5"/>
      <c r="C156" s="15" t="str">
        <f aca="false">IF(B156="","",IFERROR(INDEX('Mug Marks'!$A$5:$A$204,MATCH(B156,'Mug Marks'!$B$5:$B$204,0)),"(not on Mug Marks)"))</f>
        <v/>
      </c>
      <c r="D156" s="6"/>
      <c r="E156" s="4"/>
      <c r="F156" s="4"/>
      <c r="G156" s="8" t="str">
        <f aca="false">IF(A156="","",A156+Settings!$B$6/24)</f>
        <v/>
      </c>
    </row>
    <row r="157" customFormat="false" ht="15" hidden="false" customHeight="false" outlineLevel="0" collapsed="false">
      <c r="A157" s="14"/>
      <c r="B157" s="5"/>
      <c r="C157" s="15" t="str">
        <f aca="false">IF(B157="","",IFERROR(INDEX('Mug Marks'!$A$5:$A$204,MATCH(B157,'Mug Marks'!$B$5:$B$204,0)),"(not on Mug Marks)"))</f>
        <v/>
      </c>
      <c r="D157" s="6"/>
      <c r="E157" s="4"/>
      <c r="F157" s="4"/>
      <c r="G157" s="8" t="str">
        <f aca="false">IF(A157="","",A157+Settings!$B$6/24)</f>
        <v/>
      </c>
    </row>
    <row r="158" customFormat="false" ht="15" hidden="false" customHeight="false" outlineLevel="0" collapsed="false">
      <c r="A158" s="14"/>
      <c r="B158" s="5"/>
      <c r="C158" s="15" t="str">
        <f aca="false">IF(B158="","",IFERROR(INDEX('Mug Marks'!$A$5:$A$204,MATCH(B158,'Mug Marks'!$B$5:$B$204,0)),"(not on Mug Marks)"))</f>
        <v/>
      </c>
      <c r="D158" s="6"/>
      <c r="E158" s="4"/>
      <c r="F158" s="4"/>
      <c r="G158" s="8" t="str">
        <f aca="false">IF(A158="","",A158+Settings!$B$6/24)</f>
        <v/>
      </c>
    </row>
    <row r="159" customFormat="false" ht="15" hidden="false" customHeight="false" outlineLevel="0" collapsed="false">
      <c r="A159" s="14"/>
      <c r="B159" s="5"/>
      <c r="C159" s="15" t="str">
        <f aca="false">IF(B159="","",IFERROR(INDEX('Mug Marks'!$A$5:$A$204,MATCH(B159,'Mug Marks'!$B$5:$B$204,0)),"(not on Mug Marks)"))</f>
        <v/>
      </c>
      <c r="D159" s="6"/>
      <c r="E159" s="4"/>
      <c r="F159" s="4"/>
      <c r="G159" s="8" t="str">
        <f aca="false">IF(A159="","",A159+Settings!$B$6/24)</f>
        <v/>
      </c>
    </row>
    <row r="160" customFormat="false" ht="15" hidden="false" customHeight="false" outlineLevel="0" collapsed="false">
      <c r="A160" s="14"/>
      <c r="B160" s="5"/>
      <c r="C160" s="15" t="str">
        <f aca="false">IF(B160="","",IFERROR(INDEX('Mug Marks'!$A$5:$A$204,MATCH(B160,'Mug Marks'!$B$5:$B$204,0)),"(not on Mug Marks)"))</f>
        <v/>
      </c>
      <c r="D160" s="6"/>
      <c r="E160" s="4"/>
      <c r="F160" s="4"/>
      <c r="G160" s="8" t="str">
        <f aca="false">IF(A160="","",A160+Settings!$B$6/24)</f>
        <v/>
      </c>
    </row>
    <row r="161" customFormat="false" ht="15" hidden="false" customHeight="false" outlineLevel="0" collapsed="false">
      <c r="A161" s="14"/>
      <c r="B161" s="5"/>
      <c r="C161" s="15" t="str">
        <f aca="false">IF(B161="","",IFERROR(INDEX('Mug Marks'!$A$5:$A$204,MATCH(B161,'Mug Marks'!$B$5:$B$204,0)),"(not on Mug Marks)"))</f>
        <v/>
      </c>
      <c r="D161" s="6"/>
      <c r="E161" s="4"/>
      <c r="F161" s="4"/>
      <c r="G161" s="8" t="str">
        <f aca="false">IF(A161="","",A161+Settings!$B$6/24)</f>
        <v/>
      </c>
    </row>
    <row r="162" customFormat="false" ht="15" hidden="false" customHeight="false" outlineLevel="0" collapsed="false">
      <c r="A162" s="14"/>
      <c r="B162" s="5"/>
      <c r="C162" s="15" t="str">
        <f aca="false">IF(B162="","",IFERROR(INDEX('Mug Marks'!$A$5:$A$204,MATCH(B162,'Mug Marks'!$B$5:$B$204,0)),"(not on Mug Marks)"))</f>
        <v/>
      </c>
      <c r="D162" s="6"/>
      <c r="E162" s="4"/>
      <c r="F162" s="4"/>
      <c r="G162" s="8" t="str">
        <f aca="false">IF(A162="","",A162+Settings!$B$6/24)</f>
        <v/>
      </c>
    </row>
    <row r="163" customFormat="false" ht="15" hidden="false" customHeight="false" outlineLevel="0" collapsed="false">
      <c r="A163" s="14"/>
      <c r="B163" s="5"/>
      <c r="C163" s="15" t="str">
        <f aca="false">IF(B163="","",IFERROR(INDEX('Mug Marks'!$A$5:$A$204,MATCH(B163,'Mug Marks'!$B$5:$B$204,0)),"(not on Mug Marks)"))</f>
        <v/>
      </c>
      <c r="D163" s="6"/>
      <c r="E163" s="4"/>
      <c r="F163" s="4"/>
      <c r="G163" s="8" t="str">
        <f aca="false">IF(A163="","",A163+Settings!$B$6/24)</f>
        <v/>
      </c>
    </row>
    <row r="164" customFormat="false" ht="15" hidden="false" customHeight="false" outlineLevel="0" collapsed="false">
      <c r="A164" s="14"/>
      <c r="B164" s="5"/>
      <c r="C164" s="15" t="str">
        <f aca="false">IF(B164="","",IFERROR(INDEX('Mug Marks'!$A$5:$A$204,MATCH(B164,'Mug Marks'!$B$5:$B$204,0)),"(not on Mug Marks)"))</f>
        <v/>
      </c>
      <c r="D164" s="6"/>
      <c r="E164" s="4"/>
      <c r="F164" s="4"/>
      <c r="G164" s="8" t="str">
        <f aca="false">IF(A164="","",A164+Settings!$B$6/24)</f>
        <v/>
      </c>
    </row>
    <row r="165" customFormat="false" ht="15" hidden="false" customHeight="false" outlineLevel="0" collapsed="false">
      <c r="A165" s="14"/>
      <c r="B165" s="5"/>
      <c r="C165" s="15" t="str">
        <f aca="false">IF(B165="","",IFERROR(INDEX('Mug Marks'!$A$5:$A$204,MATCH(B165,'Mug Marks'!$B$5:$B$204,0)),"(not on Mug Marks)"))</f>
        <v/>
      </c>
      <c r="D165" s="6"/>
      <c r="E165" s="4"/>
      <c r="F165" s="4"/>
      <c r="G165" s="8" t="str">
        <f aca="false">IF(A165="","",A165+Settings!$B$6/24)</f>
        <v/>
      </c>
    </row>
    <row r="166" customFormat="false" ht="15" hidden="false" customHeight="false" outlineLevel="0" collapsed="false">
      <c r="A166" s="14"/>
      <c r="B166" s="5"/>
      <c r="C166" s="15" t="str">
        <f aca="false">IF(B166="","",IFERROR(INDEX('Mug Marks'!$A$5:$A$204,MATCH(B166,'Mug Marks'!$B$5:$B$204,0)),"(not on Mug Marks)"))</f>
        <v/>
      </c>
      <c r="D166" s="6"/>
      <c r="E166" s="4"/>
      <c r="F166" s="4"/>
      <c r="G166" s="8" t="str">
        <f aca="false">IF(A166="","",A166+Settings!$B$6/24)</f>
        <v/>
      </c>
    </row>
    <row r="167" customFormat="false" ht="15" hidden="false" customHeight="false" outlineLevel="0" collapsed="false">
      <c r="A167" s="14"/>
      <c r="B167" s="5"/>
      <c r="C167" s="15" t="str">
        <f aca="false">IF(B167="","",IFERROR(INDEX('Mug Marks'!$A$5:$A$204,MATCH(B167,'Mug Marks'!$B$5:$B$204,0)),"(not on Mug Marks)"))</f>
        <v/>
      </c>
      <c r="D167" s="6"/>
      <c r="E167" s="4"/>
      <c r="F167" s="4"/>
      <c r="G167" s="8" t="str">
        <f aca="false">IF(A167="","",A167+Settings!$B$6/24)</f>
        <v/>
      </c>
    </row>
    <row r="168" customFormat="false" ht="15" hidden="false" customHeight="false" outlineLevel="0" collapsed="false">
      <c r="A168" s="14"/>
      <c r="B168" s="5"/>
      <c r="C168" s="15" t="str">
        <f aca="false">IF(B168="","",IFERROR(INDEX('Mug Marks'!$A$5:$A$204,MATCH(B168,'Mug Marks'!$B$5:$B$204,0)),"(not on Mug Marks)"))</f>
        <v/>
      </c>
      <c r="D168" s="6"/>
      <c r="E168" s="4"/>
      <c r="F168" s="4"/>
      <c r="G168" s="8" t="str">
        <f aca="false">IF(A168="","",A168+Settings!$B$6/24)</f>
        <v/>
      </c>
    </row>
    <row r="169" customFormat="false" ht="15" hidden="false" customHeight="false" outlineLevel="0" collapsed="false">
      <c r="A169" s="14"/>
      <c r="B169" s="5"/>
      <c r="C169" s="15" t="str">
        <f aca="false">IF(B169="","",IFERROR(INDEX('Mug Marks'!$A$5:$A$204,MATCH(B169,'Mug Marks'!$B$5:$B$204,0)),"(not on Mug Marks)"))</f>
        <v/>
      </c>
      <c r="D169" s="6"/>
      <c r="E169" s="4"/>
      <c r="F169" s="4"/>
      <c r="G169" s="8" t="str">
        <f aca="false">IF(A169="","",A169+Settings!$B$6/24)</f>
        <v/>
      </c>
    </row>
    <row r="170" customFormat="false" ht="15" hidden="false" customHeight="false" outlineLevel="0" collapsed="false">
      <c r="A170" s="14"/>
      <c r="B170" s="5"/>
      <c r="C170" s="15" t="str">
        <f aca="false">IF(B170="","",IFERROR(INDEX('Mug Marks'!$A$5:$A$204,MATCH(B170,'Mug Marks'!$B$5:$B$204,0)),"(not on Mug Marks)"))</f>
        <v/>
      </c>
      <c r="D170" s="6"/>
      <c r="E170" s="4"/>
      <c r="F170" s="4"/>
      <c r="G170" s="8" t="str">
        <f aca="false">IF(A170="","",A170+Settings!$B$6/24)</f>
        <v/>
      </c>
    </row>
    <row r="171" customFormat="false" ht="15" hidden="false" customHeight="false" outlineLevel="0" collapsed="false">
      <c r="A171" s="14"/>
      <c r="B171" s="5"/>
      <c r="C171" s="15" t="str">
        <f aca="false">IF(B171="","",IFERROR(INDEX('Mug Marks'!$A$5:$A$204,MATCH(B171,'Mug Marks'!$B$5:$B$204,0)),"(not on Mug Marks)"))</f>
        <v/>
      </c>
      <c r="D171" s="6"/>
      <c r="E171" s="4"/>
      <c r="F171" s="4"/>
      <c r="G171" s="8" t="str">
        <f aca="false">IF(A171="","",A171+Settings!$B$6/24)</f>
        <v/>
      </c>
    </row>
    <row r="172" customFormat="false" ht="15" hidden="false" customHeight="false" outlineLevel="0" collapsed="false">
      <c r="A172" s="14"/>
      <c r="B172" s="5"/>
      <c r="C172" s="15" t="str">
        <f aca="false">IF(B172="","",IFERROR(INDEX('Mug Marks'!$A$5:$A$204,MATCH(B172,'Mug Marks'!$B$5:$B$204,0)),"(not on Mug Marks)"))</f>
        <v/>
      </c>
      <c r="D172" s="6"/>
      <c r="E172" s="4"/>
      <c r="F172" s="4"/>
      <c r="G172" s="8" t="str">
        <f aca="false">IF(A172="","",A172+Settings!$B$6/24)</f>
        <v/>
      </c>
    </row>
    <row r="173" customFormat="false" ht="15" hidden="false" customHeight="false" outlineLevel="0" collapsed="false">
      <c r="A173" s="14"/>
      <c r="B173" s="5"/>
      <c r="C173" s="15" t="str">
        <f aca="false">IF(B173="","",IFERROR(INDEX('Mug Marks'!$A$5:$A$204,MATCH(B173,'Mug Marks'!$B$5:$B$204,0)),"(not on Mug Marks)"))</f>
        <v/>
      </c>
      <c r="D173" s="6"/>
      <c r="E173" s="4"/>
      <c r="F173" s="4"/>
      <c r="G173" s="8" t="str">
        <f aca="false">IF(A173="","",A173+Settings!$B$6/24)</f>
        <v/>
      </c>
    </row>
    <row r="174" customFormat="false" ht="15" hidden="false" customHeight="false" outlineLevel="0" collapsed="false">
      <c r="A174" s="14"/>
      <c r="B174" s="5"/>
      <c r="C174" s="15" t="str">
        <f aca="false">IF(B174="","",IFERROR(INDEX('Mug Marks'!$A$5:$A$204,MATCH(B174,'Mug Marks'!$B$5:$B$204,0)),"(not on Mug Marks)"))</f>
        <v/>
      </c>
      <c r="D174" s="6"/>
      <c r="E174" s="4"/>
      <c r="F174" s="4"/>
      <c r="G174" s="8" t="str">
        <f aca="false">IF(A174="","",A174+Settings!$B$6/24)</f>
        <v/>
      </c>
    </row>
    <row r="175" customFormat="false" ht="15" hidden="false" customHeight="false" outlineLevel="0" collapsed="false">
      <c r="A175" s="14"/>
      <c r="B175" s="5"/>
      <c r="C175" s="15" t="str">
        <f aca="false">IF(B175="","",IFERROR(INDEX('Mug Marks'!$A$5:$A$204,MATCH(B175,'Mug Marks'!$B$5:$B$204,0)),"(not on Mug Marks)"))</f>
        <v/>
      </c>
      <c r="D175" s="6"/>
      <c r="E175" s="4"/>
      <c r="F175" s="4"/>
      <c r="G175" s="8" t="str">
        <f aca="false">IF(A175="","",A175+Settings!$B$6/24)</f>
        <v/>
      </c>
    </row>
    <row r="176" customFormat="false" ht="15" hidden="false" customHeight="false" outlineLevel="0" collapsed="false">
      <c r="A176" s="14"/>
      <c r="B176" s="5"/>
      <c r="C176" s="15" t="str">
        <f aca="false">IF(B176="","",IFERROR(INDEX('Mug Marks'!$A$5:$A$204,MATCH(B176,'Mug Marks'!$B$5:$B$204,0)),"(not on Mug Marks)"))</f>
        <v/>
      </c>
      <c r="D176" s="6"/>
      <c r="E176" s="4"/>
      <c r="F176" s="4"/>
      <c r="G176" s="8" t="str">
        <f aca="false">IF(A176="","",A176+Settings!$B$6/24)</f>
        <v/>
      </c>
    </row>
    <row r="177" customFormat="false" ht="15" hidden="false" customHeight="false" outlineLevel="0" collapsed="false">
      <c r="A177" s="14"/>
      <c r="B177" s="5"/>
      <c r="C177" s="15" t="str">
        <f aca="false">IF(B177="","",IFERROR(INDEX('Mug Marks'!$A$5:$A$204,MATCH(B177,'Mug Marks'!$B$5:$B$204,0)),"(not on Mug Marks)"))</f>
        <v/>
      </c>
      <c r="D177" s="6"/>
      <c r="E177" s="4"/>
      <c r="F177" s="4"/>
      <c r="G177" s="8" t="str">
        <f aca="false">IF(A177="","",A177+Settings!$B$6/24)</f>
        <v/>
      </c>
    </row>
    <row r="178" customFormat="false" ht="15" hidden="false" customHeight="false" outlineLevel="0" collapsed="false">
      <c r="A178" s="14"/>
      <c r="B178" s="5"/>
      <c r="C178" s="15" t="str">
        <f aca="false">IF(B178="","",IFERROR(INDEX('Mug Marks'!$A$5:$A$204,MATCH(B178,'Mug Marks'!$B$5:$B$204,0)),"(not on Mug Marks)"))</f>
        <v/>
      </c>
      <c r="D178" s="6"/>
      <c r="E178" s="4"/>
      <c r="F178" s="4"/>
      <c r="G178" s="8" t="str">
        <f aca="false">IF(A178="","",A178+Settings!$B$6/24)</f>
        <v/>
      </c>
    </row>
    <row r="179" customFormat="false" ht="15" hidden="false" customHeight="false" outlineLevel="0" collapsed="false">
      <c r="A179" s="14"/>
      <c r="B179" s="5"/>
      <c r="C179" s="15" t="str">
        <f aca="false">IF(B179="","",IFERROR(INDEX('Mug Marks'!$A$5:$A$204,MATCH(B179,'Mug Marks'!$B$5:$B$204,0)),"(not on Mug Marks)"))</f>
        <v/>
      </c>
      <c r="D179" s="6"/>
      <c r="E179" s="4"/>
      <c r="F179" s="4"/>
      <c r="G179" s="8" t="str">
        <f aca="false">IF(A179="","",A179+Settings!$B$6/24)</f>
        <v/>
      </c>
    </row>
    <row r="180" customFormat="false" ht="15" hidden="false" customHeight="false" outlineLevel="0" collapsed="false">
      <c r="A180" s="14"/>
      <c r="B180" s="5"/>
      <c r="C180" s="15" t="str">
        <f aca="false">IF(B180="","",IFERROR(INDEX('Mug Marks'!$A$5:$A$204,MATCH(B180,'Mug Marks'!$B$5:$B$204,0)),"(not on Mug Marks)"))</f>
        <v/>
      </c>
      <c r="D180" s="6"/>
      <c r="E180" s="4"/>
      <c r="F180" s="4"/>
      <c r="G180" s="8" t="str">
        <f aca="false">IF(A180="","",A180+Settings!$B$6/24)</f>
        <v/>
      </c>
    </row>
    <row r="181" customFormat="false" ht="15" hidden="false" customHeight="false" outlineLevel="0" collapsed="false">
      <c r="A181" s="14"/>
      <c r="B181" s="5"/>
      <c r="C181" s="15" t="str">
        <f aca="false">IF(B181="","",IFERROR(INDEX('Mug Marks'!$A$5:$A$204,MATCH(B181,'Mug Marks'!$B$5:$B$204,0)),"(not on Mug Marks)"))</f>
        <v/>
      </c>
      <c r="D181" s="6"/>
      <c r="E181" s="4"/>
      <c r="F181" s="4"/>
      <c r="G181" s="8" t="str">
        <f aca="false">IF(A181="","",A181+Settings!$B$6/24)</f>
        <v/>
      </c>
    </row>
    <row r="182" customFormat="false" ht="15" hidden="false" customHeight="false" outlineLevel="0" collapsed="false">
      <c r="A182" s="14"/>
      <c r="B182" s="5"/>
      <c r="C182" s="15" t="str">
        <f aca="false">IF(B182="","",IFERROR(INDEX('Mug Marks'!$A$5:$A$204,MATCH(B182,'Mug Marks'!$B$5:$B$204,0)),"(not on Mug Marks)"))</f>
        <v/>
      </c>
      <c r="D182" s="6"/>
      <c r="E182" s="4"/>
      <c r="F182" s="4"/>
      <c r="G182" s="8" t="str">
        <f aca="false">IF(A182="","",A182+Settings!$B$6/24)</f>
        <v/>
      </c>
    </row>
    <row r="183" customFormat="false" ht="15" hidden="false" customHeight="false" outlineLevel="0" collapsed="false">
      <c r="A183" s="14"/>
      <c r="B183" s="5"/>
      <c r="C183" s="15" t="str">
        <f aca="false">IF(B183="","",IFERROR(INDEX('Mug Marks'!$A$5:$A$204,MATCH(B183,'Mug Marks'!$B$5:$B$204,0)),"(not on Mug Marks)"))</f>
        <v/>
      </c>
      <c r="D183" s="6"/>
      <c r="E183" s="4"/>
      <c r="F183" s="4"/>
      <c r="G183" s="8" t="str">
        <f aca="false">IF(A183="","",A183+Settings!$B$6/24)</f>
        <v/>
      </c>
    </row>
    <row r="184" customFormat="false" ht="15" hidden="false" customHeight="false" outlineLevel="0" collapsed="false">
      <c r="A184" s="14"/>
      <c r="B184" s="5"/>
      <c r="C184" s="15" t="str">
        <f aca="false">IF(B184="","",IFERROR(INDEX('Mug Marks'!$A$5:$A$204,MATCH(B184,'Mug Marks'!$B$5:$B$204,0)),"(not on Mug Marks)"))</f>
        <v/>
      </c>
      <c r="D184" s="6"/>
      <c r="E184" s="4"/>
      <c r="F184" s="4"/>
      <c r="G184" s="8" t="str">
        <f aca="false">IF(A184="","",A184+Settings!$B$6/24)</f>
        <v/>
      </c>
    </row>
    <row r="185" customFormat="false" ht="15" hidden="false" customHeight="false" outlineLevel="0" collapsed="false">
      <c r="A185" s="14"/>
      <c r="B185" s="5"/>
      <c r="C185" s="15" t="str">
        <f aca="false">IF(B185="","",IFERROR(INDEX('Mug Marks'!$A$5:$A$204,MATCH(B185,'Mug Marks'!$B$5:$B$204,0)),"(not on Mug Marks)"))</f>
        <v/>
      </c>
      <c r="D185" s="6"/>
      <c r="E185" s="4"/>
      <c r="F185" s="4"/>
      <c r="G185" s="8" t="str">
        <f aca="false">IF(A185="","",A185+Settings!$B$6/24)</f>
        <v/>
      </c>
    </row>
    <row r="186" customFormat="false" ht="15" hidden="false" customHeight="false" outlineLevel="0" collapsed="false">
      <c r="A186" s="14"/>
      <c r="B186" s="5"/>
      <c r="C186" s="15" t="str">
        <f aca="false">IF(B186="","",IFERROR(INDEX('Mug Marks'!$A$5:$A$204,MATCH(B186,'Mug Marks'!$B$5:$B$204,0)),"(not on Mug Marks)"))</f>
        <v/>
      </c>
      <c r="D186" s="6"/>
      <c r="E186" s="4"/>
      <c r="F186" s="4"/>
      <c r="G186" s="8" t="str">
        <f aca="false">IF(A186="","",A186+Settings!$B$6/24)</f>
        <v/>
      </c>
    </row>
    <row r="187" customFormat="false" ht="15" hidden="false" customHeight="false" outlineLevel="0" collapsed="false">
      <c r="A187" s="14"/>
      <c r="B187" s="5"/>
      <c r="C187" s="15" t="str">
        <f aca="false">IF(B187="","",IFERROR(INDEX('Mug Marks'!$A$5:$A$204,MATCH(B187,'Mug Marks'!$B$5:$B$204,0)),"(not on Mug Marks)"))</f>
        <v/>
      </c>
      <c r="D187" s="6"/>
      <c r="E187" s="4"/>
      <c r="F187" s="4"/>
      <c r="G187" s="8" t="str">
        <f aca="false">IF(A187="","",A187+Settings!$B$6/24)</f>
        <v/>
      </c>
    </row>
    <row r="188" customFormat="false" ht="15" hidden="false" customHeight="false" outlineLevel="0" collapsed="false">
      <c r="A188" s="14"/>
      <c r="B188" s="5"/>
      <c r="C188" s="15" t="str">
        <f aca="false">IF(B188="","",IFERROR(INDEX('Mug Marks'!$A$5:$A$204,MATCH(B188,'Mug Marks'!$B$5:$B$204,0)),"(not on Mug Marks)"))</f>
        <v/>
      </c>
      <c r="D188" s="6"/>
      <c r="E188" s="4"/>
      <c r="F188" s="4"/>
      <c r="G188" s="8" t="str">
        <f aca="false">IF(A188="","",A188+Settings!$B$6/24)</f>
        <v/>
      </c>
    </row>
    <row r="189" customFormat="false" ht="15" hidden="false" customHeight="false" outlineLevel="0" collapsed="false">
      <c r="A189" s="14"/>
      <c r="B189" s="5"/>
      <c r="C189" s="15" t="str">
        <f aca="false">IF(B189="","",IFERROR(INDEX('Mug Marks'!$A$5:$A$204,MATCH(B189,'Mug Marks'!$B$5:$B$204,0)),"(not on Mug Marks)"))</f>
        <v/>
      </c>
      <c r="D189" s="6"/>
      <c r="E189" s="4"/>
      <c r="F189" s="4"/>
      <c r="G189" s="8" t="str">
        <f aca="false">IF(A189="","",A189+Settings!$B$6/24)</f>
        <v/>
      </c>
    </row>
    <row r="190" customFormat="false" ht="15" hidden="false" customHeight="false" outlineLevel="0" collapsed="false">
      <c r="A190" s="14"/>
      <c r="B190" s="5"/>
      <c r="C190" s="15" t="str">
        <f aca="false">IF(B190="","",IFERROR(INDEX('Mug Marks'!$A$5:$A$204,MATCH(B190,'Mug Marks'!$B$5:$B$204,0)),"(not on Mug Marks)"))</f>
        <v/>
      </c>
      <c r="D190" s="6"/>
      <c r="E190" s="4"/>
      <c r="F190" s="4"/>
      <c r="G190" s="8" t="str">
        <f aca="false">IF(A190="","",A190+Settings!$B$6/24)</f>
        <v/>
      </c>
    </row>
    <row r="191" customFormat="false" ht="15" hidden="false" customHeight="false" outlineLevel="0" collapsed="false">
      <c r="A191" s="14"/>
      <c r="B191" s="5"/>
      <c r="C191" s="15" t="str">
        <f aca="false">IF(B191="","",IFERROR(INDEX('Mug Marks'!$A$5:$A$204,MATCH(B191,'Mug Marks'!$B$5:$B$204,0)),"(not on Mug Marks)"))</f>
        <v/>
      </c>
      <c r="D191" s="6"/>
      <c r="E191" s="4"/>
      <c r="F191" s="4"/>
      <c r="G191" s="8" t="str">
        <f aca="false">IF(A191="","",A191+Settings!$B$6/24)</f>
        <v/>
      </c>
    </row>
    <row r="192" customFormat="false" ht="15" hidden="false" customHeight="false" outlineLevel="0" collapsed="false">
      <c r="A192" s="14"/>
      <c r="B192" s="5"/>
      <c r="C192" s="15" t="str">
        <f aca="false">IF(B192="","",IFERROR(INDEX('Mug Marks'!$A$5:$A$204,MATCH(B192,'Mug Marks'!$B$5:$B$204,0)),"(not on Mug Marks)"))</f>
        <v/>
      </c>
      <c r="D192" s="6"/>
      <c r="E192" s="4"/>
      <c r="F192" s="4"/>
      <c r="G192" s="8" t="str">
        <f aca="false">IF(A192="","",A192+Settings!$B$6/24)</f>
        <v/>
      </c>
    </row>
    <row r="193" customFormat="false" ht="15" hidden="false" customHeight="false" outlineLevel="0" collapsed="false">
      <c r="A193" s="14"/>
      <c r="B193" s="5"/>
      <c r="C193" s="15" t="str">
        <f aca="false">IF(B193="","",IFERROR(INDEX('Mug Marks'!$A$5:$A$204,MATCH(B193,'Mug Marks'!$B$5:$B$204,0)),"(not on Mug Marks)"))</f>
        <v/>
      </c>
      <c r="D193" s="6"/>
      <c r="E193" s="4"/>
      <c r="F193" s="4"/>
      <c r="G193" s="8" t="str">
        <f aca="false">IF(A193="","",A193+Settings!$B$6/24)</f>
        <v/>
      </c>
    </row>
    <row r="194" customFormat="false" ht="15" hidden="false" customHeight="false" outlineLevel="0" collapsed="false">
      <c r="A194" s="14"/>
      <c r="B194" s="5"/>
      <c r="C194" s="15" t="str">
        <f aca="false">IF(B194="","",IFERROR(INDEX('Mug Marks'!$A$5:$A$204,MATCH(B194,'Mug Marks'!$B$5:$B$204,0)),"(not on Mug Marks)"))</f>
        <v/>
      </c>
      <c r="D194" s="6"/>
      <c r="E194" s="4"/>
      <c r="F194" s="4"/>
      <c r="G194" s="8" t="str">
        <f aca="false">IF(A194="","",A194+Settings!$B$6/24)</f>
        <v/>
      </c>
    </row>
    <row r="195" customFormat="false" ht="15" hidden="false" customHeight="false" outlineLevel="0" collapsed="false">
      <c r="A195" s="14"/>
      <c r="B195" s="5"/>
      <c r="C195" s="15" t="str">
        <f aca="false">IF(B195="","",IFERROR(INDEX('Mug Marks'!$A$5:$A$204,MATCH(B195,'Mug Marks'!$B$5:$B$204,0)),"(not on Mug Marks)"))</f>
        <v/>
      </c>
      <c r="D195" s="6"/>
      <c r="E195" s="4"/>
      <c r="F195" s="4"/>
      <c r="G195" s="8" t="str">
        <f aca="false">IF(A195="","",A195+Settings!$B$6/24)</f>
        <v/>
      </c>
    </row>
    <row r="196" customFormat="false" ht="15" hidden="false" customHeight="false" outlineLevel="0" collapsed="false">
      <c r="A196" s="14"/>
      <c r="B196" s="5"/>
      <c r="C196" s="15" t="str">
        <f aca="false">IF(B196="","",IFERROR(INDEX('Mug Marks'!$A$5:$A$204,MATCH(B196,'Mug Marks'!$B$5:$B$204,0)),"(not on Mug Marks)"))</f>
        <v/>
      </c>
      <c r="D196" s="6"/>
      <c r="E196" s="4"/>
      <c r="F196" s="4"/>
      <c r="G196" s="8" t="str">
        <f aca="false">IF(A196="","",A196+Settings!$B$6/24)</f>
        <v/>
      </c>
    </row>
    <row r="197" customFormat="false" ht="15" hidden="false" customHeight="false" outlineLevel="0" collapsed="false">
      <c r="A197" s="14"/>
      <c r="B197" s="5"/>
      <c r="C197" s="15" t="str">
        <f aca="false">IF(B197="","",IFERROR(INDEX('Mug Marks'!$A$5:$A$204,MATCH(B197,'Mug Marks'!$B$5:$B$204,0)),"(not on Mug Marks)"))</f>
        <v/>
      </c>
      <c r="D197" s="6"/>
      <c r="E197" s="4"/>
      <c r="F197" s="4"/>
      <c r="G197" s="8" t="str">
        <f aca="false">IF(A197="","",A197+Settings!$B$6/24)</f>
        <v/>
      </c>
    </row>
    <row r="198" customFormat="false" ht="15" hidden="false" customHeight="false" outlineLevel="0" collapsed="false">
      <c r="A198" s="14"/>
      <c r="B198" s="5"/>
      <c r="C198" s="15" t="str">
        <f aca="false">IF(B198="","",IFERROR(INDEX('Mug Marks'!$A$5:$A$204,MATCH(B198,'Mug Marks'!$B$5:$B$204,0)),"(not on Mug Marks)"))</f>
        <v/>
      </c>
      <c r="D198" s="6"/>
      <c r="E198" s="4"/>
      <c r="F198" s="4"/>
      <c r="G198" s="8" t="str">
        <f aca="false">IF(A198="","",A198+Settings!$B$6/24)</f>
        <v/>
      </c>
    </row>
    <row r="199" customFormat="false" ht="15" hidden="false" customHeight="false" outlineLevel="0" collapsed="false">
      <c r="A199" s="14"/>
      <c r="B199" s="5"/>
      <c r="C199" s="15" t="str">
        <f aca="false">IF(B199="","",IFERROR(INDEX('Mug Marks'!$A$5:$A$204,MATCH(B199,'Mug Marks'!$B$5:$B$204,0)),"(not on Mug Marks)"))</f>
        <v/>
      </c>
      <c r="D199" s="6"/>
      <c r="E199" s="4"/>
      <c r="F199" s="4"/>
      <c r="G199" s="8" t="str">
        <f aca="false">IF(A199="","",A199+Settings!$B$6/24)</f>
        <v/>
      </c>
    </row>
    <row r="200" customFormat="false" ht="15" hidden="false" customHeight="false" outlineLevel="0" collapsed="false">
      <c r="A200" s="14"/>
      <c r="B200" s="5"/>
      <c r="C200" s="15" t="str">
        <f aca="false">IF(B200="","",IFERROR(INDEX('Mug Marks'!$A$5:$A$204,MATCH(B200,'Mug Marks'!$B$5:$B$204,0)),"(not on Mug Marks)"))</f>
        <v/>
      </c>
      <c r="D200" s="6"/>
      <c r="E200" s="4"/>
      <c r="F200" s="4"/>
      <c r="G200" s="8" t="str">
        <f aca="false">IF(A200="","",A200+Settings!$B$6/24)</f>
        <v/>
      </c>
    </row>
    <row r="201" customFormat="false" ht="15" hidden="false" customHeight="false" outlineLevel="0" collapsed="false">
      <c r="A201" s="14"/>
      <c r="B201" s="5"/>
      <c r="C201" s="15" t="str">
        <f aca="false">IF(B201="","",IFERROR(INDEX('Mug Marks'!$A$5:$A$204,MATCH(B201,'Mug Marks'!$B$5:$B$204,0)),"(not on Mug Marks)"))</f>
        <v/>
      </c>
      <c r="D201" s="6"/>
      <c r="E201" s="4"/>
      <c r="F201" s="4"/>
      <c r="G201" s="8" t="str">
        <f aca="false">IF(A201="","",A201+Settings!$B$6/24)</f>
        <v/>
      </c>
    </row>
    <row r="202" customFormat="false" ht="15" hidden="false" customHeight="false" outlineLevel="0" collapsed="false">
      <c r="A202" s="14"/>
      <c r="B202" s="5"/>
      <c r="C202" s="15" t="str">
        <f aca="false">IF(B202="","",IFERROR(INDEX('Mug Marks'!$A$5:$A$204,MATCH(B202,'Mug Marks'!$B$5:$B$204,0)),"(not on Mug Marks)"))</f>
        <v/>
      </c>
      <c r="D202" s="6"/>
      <c r="E202" s="4"/>
      <c r="F202" s="4"/>
      <c r="G202" s="8" t="str">
        <f aca="false">IF(A202="","",A202+Settings!$B$6/24)</f>
        <v/>
      </c>
    </row>
    <row r="203" customFormat="false" ht="15" hidden="false" customHeight="false" outlineLevel="0" collapsed="false">
      <c r="A203" s="14"/>
      <c r="B203" s="5"/>
      <c r="C203" s="15" t="str">
        <f aca="false">IF(B203="","",IFERROR(INDEX('Mug Marks'!$A$5:$A$204,MATCH(B203,'Mug Marks'!$B$5:$B$204,0)),"(not on Mug Marks)"))</f>
        <v/>
      </c>
      <c r="D203" s="6"/>
      <c r="E203" s="4"/>
      <c r="F203" s="4"/>
      <c r="G203" s="8" t="str">
        <f aca="false">IF(A203="","",A203+Settings!$B$6/24)</f>
        <v/>
      </c>
    </row>
    <row r="204" customFormat="false" ht="15" hidden="false" customHeight="false" outlineLevel="0" collapsed="false">
      <c r="A204" s="14"/>
      <c r="B204" s="5"/>
      <c r="C204" s="15" t="str">
        <f aca="false">IF(B204="","",IFERROR(INDEX('Mug Marks'!$A$5:$A$204,MATCH(B204,'Mug Marks'!$B$5:$B$204,0)),"(not on Mug Marks)"))</f>
        <v/>
      </c>
      <c r="D204" s="6"/>
      <c r="E204" s="4"/>
      <c r="F204" s="4"/>
      <c r="G204" s="8" t="str">
        <f aca="false">IF(A204="","",A204+Settings!$B$6/24)</f>
        <v/>
      </c>
    </row>
    <row r="205" customFormat="false" ht="15" hidden="false" customHeight="false" outlineLevel="0" collapsed="false">
      <c r="A205" s="14"/>
      <c r="B205" s="5"/>
      <c r="C205" s="15" t="str">
        <f aca="false">IF(B205="","",IFERROR(INDEX('Mug Marks'!$A$5:$A$204,MATCH(B205,'Mug Marks'!$B$5:$B$204,0)),"(not on Mug Marks)"))</f>
        <v/>
      </c>
      <c r="D205" s="6"/>
      <c r="E205" s="4"/>
      <c r="F205" s="4"/>
      <c r="G205" s="8" t="str">
        <f aca="false">IF(A205="","",A205+Settings!$B$6/24)</f>
        <v/>
      </c>
    </row>
    <row r="206" customFormat="false" ht="15" hidden="false" customHeight="false" outlineLevel="0" collapsed="false">
      <c r="A206" s="14"/>
      <c r="B206" s="5"/>
      <c r="C206" s="15" t="str">
        <f aca="false">IF(B206="","",IFERROR(INDEX('Mug Marks'!$A$5:$A$204,MATCH(B206,'Mug Marks'!$B$5:$B$204,0)),"(not on Mug Marks)"))</f>
        <v/>
      </c>
      <c r="D206" s="6"/>
      <c r="E206" s="4"/>
      <c r="F206" s="4"/>
      <c r="G206" s="8" t="str">
        <f aca="false">IF(A206="","",A206+Settings!$B$6/24)</f>
        <v/>
      </c>
    </row>
    <row r="207" customFormat="false" ht="15" hidden="false" customHeight="false" outlineLevel="0" collapsed="false">
      <c r="A207" s="14"/>
      <c r="B207" s="5"/>
      <c r="C207" s="15" t="str">
        <f aca="false">IF(B207="","",IFERROR(INDEX('Mug Marks'!$A$5:$A$204,MATCH(B207,'Mug Marks'!$B$5:$B$204,0)),"(not on Mug Marks)"))</f>
        <v/>
      </c>
      <c r="D207" s="6"/>
      <c r="E207" s="4"/>
      <c r="F207" s="4"/>
      <c r="G207" s="8" t="str">
        <f aca="false">IF(A207="","",A207+Settings!$B$6/24)</f>
        <v/>
      </c>
    </row>
    <row r="208" customFormat="false" ht="15" hidden="false" customHeight="false" outlineLevel="0" collapsed="false">
      <c r="A208" s="14"/>
      <c r="B208" s="5"/>
      <c r="C208" s="15" t="str">
        <f aca="false">IF(B208="","",IFERROR(INDEX('Mug Marks'!$A$5:$A$204,MATCH(B208,'Mug Marks'!$B$5:$B$204,0)),"(not on Mug Marks)"))</f>
        <v/>
      </c>
      <c r="D208" s="6"/>
      <c r="E208" s="4"/>
      <c r="F208" s="4"/>
      <c r="G208" s="8" t="str">
        <f aca="false">IF(A208="","",A208+Settings!$B$6/24)</f>
        <v/>
      </c>
    </row>
    <row r="209" customFormat="false" ht="15" hidden="false" customHeight="false" outlineLevel="0" collapsed="false">
      <c r="A209" s="14"/>
      <c r="B209" s="5"/>
      <c r="C209" s="15" t="str">
        <f aca="false">IF(B209="","",IFERROR(INDEX('Mug Marks'!$A$5:$A$204,MATCH(B209,'Mug Marks'!$B$5:$B$204,0)),"(not on Mug Marks)"))</f>
        <v/>
      </c>
      <c r="D209" s="6"/>
      <c r="E209" s="4"/>
      <c r="F209" s="4"/>
      <c r="G209" s="8" t="str">
        <f aca="false">IF(A209="","",A209+Settings!$B$6/24)</f>
        <v/>
      </c>
    </row>
    <row r="210" customFormat="false" ht="15" hidden="false" customHeight="false" outlineLevel="0" collapsed="false">
      <c r="A210" s="14"/>
      <c r="B210" s="5"/>
      <c r="C210" s="15" t="str">
        <f aca="false">IF(B210="","",IFERROR(INDEX('Mug Marks'!$A$5:$A$204,MATCH(B210,'Mug Marks'!$B$5:$B$204,0)),"(not on Mug Marks)"))</f>
        <v/>
      </c>
      <c r="D210" s="6"/>
      <c r="E210" s="4"/>
      <c r="F210" s="4"/>
      <c r="G210" s="8" t="str">
        <f aca="false">IF(A210="","",A210+Settings!$B$6/24)</f>
        <v/>
      </c>
    </row>
    <row r="211" customFormat="false" ht="15" hidden="false" customHeight="false" outlineLevel="0" collapsed="false">
      <c r="A211" s="14"/>
      <c r="B211" s="5"/>
      <c r="C211" s="15" t="str">
        <f aca="false">IF(B211="","",IFERROR(INDEX('Mug Marks'!$A$5:$A$204,MATCH(B211,'Mug Marks'!$B$5:$B$204,0)),"(not on Mug Marks)"))</f>
        <v/>
      </c>
      <c r="D211" s="6"/>
      <c r="E211" s="4"/>
      <c r="F211" s="4"/>
      <c r="G211" s="8" t="str">
        <f aca="false">IF(A211="","",A211+Settings!$B$6/24)</f>
        <v/>
      </c>
    </row>
    <row r="212" customFormat="false" ht="15" hidden="false" customHeight="false" outlineLevel="0" collapsed="false">
      <c r="A212" s="14"/>
      <c r="B212" s="5"/>
      <c r="C212" s="15" t="str">
        <f aca="false">IF(B212="","",IFERROR(INDEX('Mug Marks'!$A$5:$A$204,MATCH(B212,'Mug Marks'!$B$5:$B$204,0)),"(not on Mug Marks)"))</f>
        <v/>
      </c>
      <c r="D212" s="6"/>
      <c r="E212" s="4"/>
      <c r="F212" s="4"/>
      <c r="G212" s="8" t="str">
        <f aca="false">IF(A212="","",A212+Settings!$B$6/24)</f>
        <v/>
      </c>
    </row>
    <row r="213" customFormat="false" ht="15" hidden="false" customHeight="false" outlineLevel="0" collapsed="false">
      <c r="A213" s="14"/>
      <c r="B213" s="5"/>
      <c r="C213" s="15" t="str">
        <f aca="false">IF(B213="","",IFERROR(INDEX('Mug Marks'!$A$5:$A$204,MATCH(B213,'Mug Marks'!$B$5:$B$204,0)),"(not on Mug Marks)"))</f>
        <v/>
      </c>
      <c r="D213" s="6"/>
      <c r="E213" s="4"/>
      <c r="F213" s="4"/>
      <c r="G213" s="8" t="str">
        <f aca="false">IF(A213="","",A213+Settings!$B$6/24)</f>
        <v/>
      </c>
    </row>
    <row r="214" customFormat="false" ht="15" hidden="false" customHeight="false" outlineLevel="0" collapsed="false">
      <c r="A214" s="14"/>
      <c r="B214" s="5"/>
      <c r="C214" s="15" t="str">
        <f aca="false">IF(B214="","",IFERROR(INDEX('Mug Marks'!$A$5:$A$204,MATCH(B214,'Mug Marks'!$B$5:$B$204,0)),"(not on Mug Marks)"))</f>
        <v/>
      </c>
      <c r="D214" s="6"/>
      <c r="E214" s="4"/>
      <c r="F214" s="4"/>
      <c r="G214" s="8" t="str">
        <f aca="false">IF(A214="","",A214+Settings!$B$6/24)</f>
        <v/>
      </c>
    </row>
    <row r="215" customFormat="false" ht="15" hidden="false" customHeight="false" outlineLevel="0" collapsed="false">
      <c r="A215" s="14"/>
      <c r="B215" s="5"/>
      <c r="C215" s="15" t="str">
        <f aca="false">IF(B215="","",IFERROR(INDEX('Mug Marks'!$A$5:$A$204,MATCH(B215,'Mug Marks'!$B$5:$B$204,0)),"(not on Mug Marks)"))</f>
        <v/>
      </c>
      <c r="D215" s="6"/>
      <c r="E215" s="4"/>
      <c r="F215" s="4"/>
      <c r="G215" s="8" t="str">
        <f aca="false">IF(A215="","",A215+Settings!$B$6/24)</f>
        <v/>
      </c>
    </row>
    <row r="216" customFormat="false" ht="15" hidden="false" customHeight="false" outlineLevel="0" collapsed="false">
      <c r="A216" s="14"/>
      <c r="B216" s="5"/>
      <c r="C216" s="15" t="str">
        <f aca="false">IF(B216="","",IFERROR(INDEX('Mug Marks'!$A$5:$A$204,MATCH(B216,'Mug Marks'!$B$5:$B$204,0)),"(not on Mug Marks)"))</f>
        <v/>
      </c>
      <c r="D216" s="6"/>
      <c r="E216" s="4"/>
      <c r="F216" s="4"/>
      <c r="G216" s="8" t="str">
        <f aca="false">IF(A216="","",A216+Settings!$B$6/24)</f>
        <v/>
      </c>
    </row>
    <row r="217" customFormat="false" ht="15" hidden="false" customHeight="false" outlineLevel="0" collapsed="false">
      <c r="A217" s="14"/>
      <c r="B217" s="5"/>
      <c r="C217" s="15" t="str">
        <f aca="false">IF(B217="","",IFERROR(INDEX('Mug Marks'!$A$5:$A$204,MATCH(B217,'Mug Marks'!$B$5:$B$204,0)),"(not on Mug Marks)"))</f>
        <v/>
      </c>
      <c r="D217" s="6"/>
      <c r="E217" s="4"/>
      <c r="F217" s="4"/>
      <c r="G217" s="8" t="str">
        <f aca="false">IF(A217="","",A217+Settings!$B$6/24)</f>
        <v/>
      </c>
    </row>
    <row r="218" customFormat="false" ht="15" hidden="false" customHeight="false" outlineLevel="0" collapsed="false">
      <c r="A218" s="14"/>
      <c r="B218" s="5"/>
      <c r="C218" s="15" t="str">
        <f aca="false">IF(B218="","",IFERROR(INDEX('Mug Marks'!$A$5:$A$204,MATCH(B218,'Mug Marks'!$B$5:$B$204,0)),"(not on Mug Marks)"))</f>
        <v/>
      </c>
      <c r="D218" s="6"/>
      <c r="E218" s="4"/>
      <c r="F218" s="4"/>
      <c r="G218" s="8" t="str">
        <f aca="false">IF(A218="","",A218+Settings!$B$6/24)</f>
        <v/>
      </c>
    </row>
    <row r="219" customFormat="false" ht="15" hidden="false" customHeight="false" outlineLevel="0" collapsed="false">
      <c r="A219" s="14"/>
      <c r="B219" s="5"/>
      <c r="C219" s="15" t="str">
        <f aca="false">IF(B219="","",IFERROR(INDEX('Mug Marks'!$A$5:$A$204,MATCH(B219,'Mug Marks'!$B$5:$B$204,0)),"(not on Mug Marks)"))</f>
        <v/>
      </c>
      <c r="D219" s="6"/>
      <c r="E219" s="4"/>
      <c r="F219" s="4"/>
      <c r="G219" s="8" t="str">
        <f aca="false">IF(A219="","",A219+Settings!$B$6/24)</f>
        <v/>
      </c>
    </row>
    <row r="220" customFormat="false" ht="15" hidden="false" customHeight="false" outlineLevel="0" collapsed="false">
      <c r="A220" s="14"/>
      <c r="B220" s="5"/>
      <c r="C220" s="15" t="str">
        <f aca="false">IF(B220="","",IFERROR(INDEX('Mug Marks'!$A$5:$A$204,MATCH(B220,'Mug Marks'!$B$5:$B$204,0)),"(not on Mug Marks)"))</f>
        <v/>
      </c>
      <c r="D220" s="6"/>
      <c r="E220" s="4"/>
      <c r="F220" s="4"/>
      <c r="G220" s="8" t="str">
        <f aca="false">IF(A220="","",A220+Settings!$B$6/24)</f>
        <v/>
      </c>
    </row>
    <row r="221" customFormat="false" ht="15" hidden="false" customHeight="false" outlineLevel="0" collapsed="false">
      <c r="A221" s="14"/>
      <c r="B221" s="5"/>
      <c r="C221" s="15" t="str">
        <f aca="false">IF(B221="","",IFERROR(INDEX('Mug Marks'!$A$5:$A$204,MATCH(B221,'Mug Marks'!$B$5:$B$204,0)),"(not on Mug Marks)"))</f>
        <v/>
      </c>
      <c r="D221" s="6"/>
      <c r="E221" s="4"/>
      <c r="F221" s="4"/>
      <c r="G221" s="8" t="str">
        <f aca="false">IF(A221="","",A221+Settings!$B$6/24)</f>
        <v/>
      </c>
    </row>
    <row r="222" customFormat="false" ht="15" hidden="false" customHeight="false" outlineLevel="0" collapsed="false">
      <c r="A222" s="14"/>
      <c r="B222" s="5"/>
      <c r="C222" s="15" t="str">
        <f aca="false">IF(B222="","",IFERROR(INDEX('Mug Marks'!$A$5:$A$204,MATCH(B222,'Mug Marks'!$B$5:$B$204,0)),"(not on Mug Marks)"))</f>
        <v/>
      </c>
      <c r="D222" s="6"/>
      <c r="E222" s="4"/>
      <c r="F222" s="4"/>
      <c r="G222" s="8" t="str">
        <f aca="false">IF(A222="","",A222+Settings!$B$6/24)</f>
        <v/>
      </c>
    </row>
    <row r="223" customFormat="false" ht="15" hidden="false" customHeight="false" outlineLevel="0" collapsed="false">
      <c r="A223" s="14"/>
      <c r="B223" s="5"/>
      <c r="C223" s="15" t="str">
        <f aca="false">IF(B223="","",IFERROR(INDEX('Mug Marks'!$A$5:$A$204,MATCH(B223,'Mug Marks'!$B$5:$B$204,0)),"(not on Mug Marks)"))</f>
        <v/>
      </c>
      <c r="D223" s="6"/>
      <c r="E223" s="4"/>
      <c r="F223" s="4"/>
      <c r="G223" s="8" t="str">
        <f aca="false">IF(A223="","",A223+Settings!$B$6/24)</f>
        <v/>
      </c>
    </row>
    <row r="224" customFormat="false" ht="15" hidden="false" customHeight="false" outlineLevel="0" collapsed="false">
      <c r="A224" s="14"/>
      <c r="B224" s="5"/>
      <c r="C224" s="15" t="str">
        <f aca="false">IF(B224="","",IFERROR(INDEX('Mug Marks'!$A$5:$A$204,MATCH(B224,'Mug Marks'!$B$5:$B$204,0)),"(not on Mug Marks)"))</f>
        <v/>
      </c>
      <c r="D224" s="6"/>
      <c r="E224" s="4"/>
      <c r="F224" s="4"/>
      <c r="G224" s="8" t="str">
        <f aca="false">IF(A224="","",A224+Settings!$B$6/24)</f>
        <v/>
      </c>
    </row>
    <row r="225" customFormat="false" ht="15" hidden="false" customHeight="false" outlineLevel="0" collapsed="false">
      <c r="A225" s="14"/>
      <c r="B225" s="5"/>
      <c r="C225" s="15" t="str">
        <f aca="false">IF(B225="","",IFERROR(INDEX('Mug Marks'!$A$5:$A$204,MATCH(B225,'Mug Marks'!$B$5:$B$204,0)),"(not on Mug Marks)"))</f>
        <v/>
      </c>
      <c r="D225" s="6"/>
      <c r="E225" s="4"/>
      <c r="F225" s="4"/>
      <c r="G225" s="8" t="str">
        <f aca="false">IF(A225="","",A225+Settings!$B$6/24)</f>
        <v/>
      </c>
    </row>
    <row r="226" customFormat="false" ht="15" hidden="false" customHeight="false" outlineLevel="0" collapsed="false">
      <c r="A226" s="14"/>
      <c r="B226" s="5"/>
      <c r="C226" s="15" t="str">
        <f aca="false">IF(B226="","",IFERROR(INDEX('Mug Marks'!$A$5:$A$204,MATCH(B226,'Mug Marks'!$B$5:$B$204,0)),"(not on Mug Marks)"))</f>
        <v/>
      </c>
      <c r="D226" s="6"/>
      <c r="E226" s="4"/>
      <c r="F226" s="4"/>
      <c r="G226" s="8" t="str">
        <f aca="false">IF(A226="","",A226+Settings!$B$6/24)</f>
        <v/>
      </c>
    </row>
    <row r="227" customFormat="false" ht="15" hidden="false" customHeight="false" outlineLevel="0" collapsed="false">
      <c r="A227" s="14"/>
      <c r="B227" s="5"/>
      <c r="C227" s="15" t="str">
        <f aca="false">IF(B227="","",IFERROR(INDEX('Mug Marks'!$A$5:$A$204,MATCH(B227,'Mug Marks'!$B$5:$B$204,0)),"(not on Mug Marks)"))</f>
        <v/>
      </c>
      <c r="D227" s="6"/>
      <c r="E227" s="4"/>
      <c r="F227" s="4"/>
      <c r="G227" s="8" t="str">
        <f aca="false">IF(A227="","",A227+Settings!$B$6/24)</f>
        <v/>
      </c>
    </row>
    <row r="228" customFormat="false" ht="15" hidden="false" customHeight="false" outlineLevel="0" collapsed="false">
      <c r="A228" s="14"/>
      <c r="B228" s="5"/>
      <c r="C228" s="15" t="str">
        <f aca="false">IF(B228="","",IFERROR(INDEX('Mug Marks'!$A$5:$A$204,MATCH(B228,'Mug Marks'!$B$5:$B$204,0)),"(not on Mug Marks)"))</f>
        <v/>
      </c>
      <c r="D228" s="6"/>
      <c r="E228" s="4"/>
      <c r="F228" s="4"/>
      <c r="G228" s="8" t="str">
        <f aca="false">IF(A228="","",A228+Settings!$B$6/24)</f>
        <v/>
      </c>
    </row>
    <row r="229" customFormat="false" ht="15" hidden="false" customHeight="false" outlineLevel="0" collapsed="false">
      <c r="A229" s="14"/>
      <c r="B229" s="5"/>
      <c r="C229" s="15" t="str">
        <f aca="false">IF(B229="","",IFERROR(INDEX('Mug Marks'!$A$5:$A$204,MATCH(B229,'Mug Marks'!$B$5:$B$204,0)),"(not on Mug Marks)"))</f>
        <v/>
      </c>
      <c r="D229" s="6"/>
      <c r="E229" s="4"/>
      <c r="F229" s="4"/>
      <c r="G229" s="8" t="str">
        <f aca="false">IF(A229="","",A229+Settings!$B$6/24)</f>
        <v/>
      </c>
    </row>
    <row r="230" customFormat="false" ht="15" hidden="false" customHeight="false" outlineLevel="0" collapsed="false">
      <c r="A230" s="14"/>
      <c r="B230" s="5"/>
      <c r="C230" s="15" t="str">
        <f aca="false">IF(B230="","",IFERROR(INDEX('Mug Marks'!$A$5:$A$204,MATCH(B230,'Mug Marks'!$B$5:$B$204,0)),"(not on Mug Marks)"))</f>
        <v/>
      </c>
      <c r="D230" s="6"/>
      <c r="E230" s="4"/>
      <c r="F230" s="4"/>
      <c r="G230" s="8" t="str">
        <f aca="false">IF(A230="","",A230+Settings!$B$6/24)</f>
        <v/>
      </c>
    </row>
    <row r="231" customFormat="false" ht="15" hidden="false" customHeight="false" outlineLevel="0" collapsed="false">
      <c r="A231" s="14"/>
      <c r="B231" s="5"/>
      <c r="C231" s="15" t="str">
        <f aca="false">IF(B231="","",IFERROR(INDEX('Mug Marks'!$A$5:$A$204,MATCH(B231,'Mug Marks'!$B$5:$B$204,0)),"(not on Mug Marks)"))</f>
        <v/>
      </c>
      <c r="D231" s="6"/>
      <c r="E231" s="4"/>
      <c r="F231" s="4"/>
      <c r="G231" s="8" t="str">
        <f aca="false">IF(A231="","",A231+Settings!$B$6/24)</f>
        <v/>
      </c>
    </row>
    <row r="232" customFormat="false" ht="15" hidden="false" customHeight="false" outlineLevel="0" collapsed="false">
      <c r="A232" s="14"/>
      <c r="B232" s="5"/>
      <c r="C232" s="15" t="str">
        <f aca="false">IF(B232="","",IFERROR(INDEX('Mug Marks'!$A$5:$A$204,MATCH(B232,'Mug Marks'!$B$5:$B$204,0)),"(not on Mug Marks)"))</f>
        <v/>
      </c>
      <c r="D232" s="6"/>
      <c r="E232" s="4"/>
      <c r="F232" s="4"/>
      <c r="G232" s="8" t="str">
        <f aca="false">IF(A232="","",A232+Settings!$B$6/24)</f>
        <v/>
      </c>
    </row>
    <row r="233" customFormat="false" ht="15" hidden="false" customHeight="false" outlineLevel="0" collapsed="false">
      <c r="A233" s="14"/>
      <c r="B233" s="5"/>
      <c r="C233" s="15" t="str">
        <f aca="false">IF(B233="","",IFERROR(INDEX('Mug Marks'!$A$5:$A$204,MATCH(B233,'Mug Marks'!$B$5:$B$204,0)),"(not on Mug Marks)"))</f>
        <v/>
      </c>
      <c r="D233" s="6"/>
      <c r="E233" s="4"/>
      <c r="F233" s="4"/>
      <c r="G233" s="8" t="str">
        <f aca="false">IF(A233="","",A233+Settings!$B$6/24)</f>
        <v/>
      </c>
    </row>
    <row r="234" customFormat="false" ht="15" hidden="false" customHeight="false" outlineLevel="0" collapsed="false">
      <c r="A234" s="14"/>
      <c r="B234" s="5"/>
      <c r="C234" s="15" t="str">
        <f aca="false">IF(B234="","",IFERROR(INDEX('Mug Marks'!$A$5:$A$204,MATCH(B234,'Mug Marks'!$B$5:$B$204,0)),"(not on Mug Marks)"))</f>
        <v/>
      </c>
      <c r="D234" s="6"/>
      <c r="E234" s="4"/>
      <c r="F234" s="4"/>
      <c r="G234" s="8" t="str">
        <f aca="false">IF(A234="","",A234+Settings!$B$6/24)</f>
        <v/>
      </c>
    </row>
    <row r="235" customFormat="false" ht="15" hidden="false" customHeight="false" outlineLevel="0" collapsed="false">
      <c r="A235" s="14"/>
      <c r="B235" s="5"/>
      <c r="C235" s="15" t="str">
        <f aca="false">IF(B235="","",IFERROR(INDEX('Mug Marks'!$A$5:$A$204,MATCH(B235,'Mug Marks'!$B$5:$B$204,0)),"(not on Mug Marks)"))</f>
        <v/>
      </c>
      <c r="D235" s="6"/>
      <c r="E235" s="4"/>
      <c r="F235" s="4"/>
      <c r="G235" s="8" t="str">
        <f aca="false">IF(A235="","",A235+Settings!$B$6/24)</f>
        <v/>
      </c>
    </row>
    <row r="236" customFormat="false" ht="15" hidden="false" customHeight="false" outlineLevel="0" collapsed="false">
      <c r="A236" s="14"/>
      <c r="B236" s="5"/>
      <c r="C236" s="15" t="str">
        <f aca="false">IF(B236="","",IFERROR(INDEX('Mug Marks'!$A$5:$A$204,MATCH(B236,'Mug Marks'!$B$5:$B$204,0)),"(not on Mug Marks)"))</f>
        <v/>
      </c>
      <c r="D236" s="6"/>
      <c r="E236" s="4"/>
      <c r="F236" s="4"/>
      <c r="G236" s="8" t="str">
        <f aca="false">IF(A236="","",A236+Settings!$B$6/24)</f>
        <v/>
      </c>
    </row>
    <row r="237" customFormat="false" ht="15" hidden="false" customHeight="false" outlineLevel="0" collapsed="false">
      <c r="A237" s="14"/>
      <c r="B237" s="5"/>
      <c r="C237" s="15" t="str">
        <f aca="false">IF(B237="","",IFERROR(INDEX('Mug Marks'!$A$5:$A$204,MATCH(B237,'Mug Marks'!$B$5:$B$204,0)),"(not on Mug Marks)"))</f>
        <v/>
      </c>
      <c r="D237" s="6"/>
      <c r="E237" s="4"/>
      <c r="F237" s="4"/>
      <c r="G237" s="8" t="str">
        <f aca="false">IF(A237="","",A237+Settings!$B$6/24)</f>
        <v/>
      </c>
    </row>
    <row r="238" customFormat="false" ht="15" hidden="false" customHeight="false" outlineLevel="0" collapsed="false">
      <c r="A238" s="14"/>
      <c r="B238" s="5"/>
      <c r="C238" s="15" t="str">
        <f aca="false">IF(B238="","",IFERROR(INDEX('Mug Marks'!$A$5:$A$204,MATCH(B238,'Mug Marks'!$B$5:$B$204,0)),"(not on Mug Marks)"))</f>
        <v/>
      </c>
      <c r="D238" s="6"/>
      <c r="E238" s="4"/>
      <c r="F238" s="4"/>
      <c r="G238" s="8" t="str">
        <f aca="false">IF(A238="","",A238+Settings!$B$6/24)</f>
        <v/>
      </c>
    </row>
    <row r="239" customFormat="false" ht="15" hidden="false" customHeight="false" outlineLevel="0" collapsed="false">
      <c r="A239" s="14"/>
      <c r="B239" s="5"/>
      <c r="C239" s="15" t="str">
        <f aca="false">IF(B239="","",IFERROR(INDEX('Mug Marks'!$A$5:$A$204,MATCH(B239,'Mug Marks'!$B$5:$B$204,0)),"(not on Mug Marks)"))</f>
        <v/>
      </c>
      <c r="D239" s="6"/>
      <c r="E239" s="4"/>
      <c r="F239" s="4"/>
      <c r="G239" s="8" t="str">
        <f aca="false">IF(A239="","",A239+Settings!$B$6/24)</f>
        <v/>
      </c>
    </row>
    <row r="240" customFormat="false" ht="15" hidden="false" customHeight="false" outlineLevel="0" collapsed="false">
      <c r="A240" s="14"/>
      <c r="B240" s="5"/>
      <c r="C240" s="15" t="str">
        <f aca="false">IF(B240="","",IFERROR(INDEX('Mug Marks'!$A$5:$A$204,MATCH(B240,'Mug Marks'!$B$5:$B$204,0)),"(not on Mug Marks)"))</f>
        <v/>
      </c>
      <c r="D240" s="6"/>
      <c r="E240" s="4"/>
      <c r="F240" s="4"/>
      <c r="G240" s="8" t="str">
        <f aca="false">IF(A240="","",A240+Settings!$B$6/24)</f>
        <v/>
      </c>
    </row>
    <row r="241" customFormat="false" ht="15" hidden="false" customHeight="false" outlineLevel="0" collapsed="false">
      <c r="A241" s="14"/>
      <c r="B241" s="5"/>
      <c r="C241" s="15" t="str">
        <f aca="false">IF(B241="","",IFERROR(INDEX('Mug Marks'!$A$5:$A$204,MATCH(B241,'Mug Marks'!$B$5:$B$204,0)),"(not on Mug Marks)"))</f>
        <v/>
      </c>
      <c r="D241" s="6"/>
      <c r="E241" s="4"/>
      <c r="F241" s="4"/>
      <c r="G241" s="8" t="str">
        <f aca="false">IF(A241="","",A241+Settings!$B$6/24)</f>
        <v/>
      </c>
    </row>
    <row r="242" customFormat="false" ht="15" hidden="false" customHeight="false" outlineLevel="0" collapsed="false">
      <c r="A242" s="14"/>
      <c r="B242" s="5"/>
      <c r="C242" s="15" t="str">
        <f aca="false">IF(B242="","",IFERROR(INDEX('Mug Marks'!$A$5:$A$204,MATCH(B242,'Mug Marks'!$B$5:$B$204,0)),"(not on Mug Marks)"))</f>
        <v/>
      </c>
      <c r="D242" s="6"/>
      <c r="E242" s="4"/>
      <c r="F242" s="4"/>
      <c r="G242" s="8" t="str">
        <f aca="false">IF(A242="","",A242+Settings!$B$6/24)</f>
        <v/>
      </c>
    </row>
    <row r="243" customFormat="false" ht="15" hidden="false" customHeight="false" outlineLevel="0" collapsed="false">
      <c r="A243" s="14"/>
      <c r="B243" s="5"/>
      <c r="C243" s="15" t="str">
        <f aca="false">IF(B243="","",IFERROR(INDEX('Mug Marks'!$A$5:$A$204,MATCH(B243,'Mug Marks'!$B$5:$B$204,0)),"(not on Mug Marks)"))</f>
        <v/>
      </c>
      <c r="D243" s="6"/>
      <c r="E243" s="4"/>
      <c r="F243" s="4"/>
      <c r="G243" s="8" t="str">
        <f aca="false">IF(A243="","",A243+Settings!$B$6/24)</f>
        <v/>
      </c>
    </row>
    <row r="244" customFormat="false" ht="15" hidden="false" customHeight="false" outlineLevel="0" collapsed="false">
      <c r="A244" s="14"/>
      <c r="B244" s="5"/>
      <c r="C244" s="15" t="str">
        <f aca="false">IF(B244="","",IFERROR(INDEX('Mug Marks'!$A$5:$A$204,MATCH(B244,'Mug Marks'!$B$5:$B$204,0)),"(not on Mug Marks)"))</f>
        <v/>
      </c>
      <c r="D244" s="6"/>
      <c r="E244" s="4"/>
      <c r="F244" s="4"/>
      <c r="G244" s="8" t="str">
        <f aca="false">IF(A244="","",A244+Settings!$B$6/24)</f>
        <v/>
      </c>
    </row>
    <row r="245" customFormat="false" ht="15" hidden="false" customHeight="false" outlineLevel="0" collapsed="false">
      <c r="A245" s="14"/>
      <c r="B245" s="5"/>
      <c r="C245" s="15" t="str">
        <f aca="false">IF(B245="","",IFERROR(INDEX('Mug Marks'!$A$5:$A$204,MATCH(B245,'Mug Marks'!$B$5:$B$204,0)),"(not on Mug Marks)"))</f>
        <v/>
      </c>
      <c r="D245" s="6"/>
      <c r="E245" s="4"/>
      <c r="F245" s="4"/>
      <c r="G245" s="8" t="str">
        <f aca="false">IF(A245="","",A245+Settings!$B$6/24)</f>
        <v/>
      </c>
    </row>
    <row r="246" customFormat="false" ht="15" hidden="false" customHeight="false" outlineLevel="0" collapsed="false">
      <c r="A246" s="14"/>
      <c r="B246" s="5"/>
      <c r="C246" s="15" t="str">
        <f aca="false">IF(B246="","",IFERROR(INDEX('Mug Marks'!$A$5:$A$204,MATCH(B246,'Mug Marks'!$B$5:$B$204,0)),"(not on Mug Marks)"))</f>
        <v/>
      </c>
      <c r="D246" s="6"/>
      <c r="E246" s="4"/>
      <c r="F246" s="4"/>
      <c r="G246" s="8" t="str">
        <f aca="false">IF(A246="","",A246+Settings!$B$6/24)</f>
        <v/>
      </c>
    </row>
    <row r="247" customFormat="false" ht="15" hidden="false" customHeight="false" outlineLevel="0" collapsed="false">
      <c r="A247" s="14"/>
      <c r="B247" s="5"/>
      <c r="C247" s="15" t="str">
        <f aca="false">IF(B247="","",IFERROR(INDEX('Mug Marks'!$A$5:$A$204,MATCH(B247,'Mug Marks'!$B$5:$B$204,0)),"(not on Mug Marks)"))</f>
        <v/>
      </c>
      <c r="D247" s="6"/>
      <c r="E247" s="4"/>
      <c r="F247" s="4"/>
      <c r="G247" s="8" t="str">
        <f aca="false">IF(A247="","",A247+Settings!$B$6/24)</f>
        <v/>
      </c>
    </row>
    <row r="248" customFormat="false" ht="15" hidden="false" customHeight="false" outlineLevel="0" collapsed="false">
      <c r="A248" s="14"/>
      <c r="B248" s="5"/>
      <c r="C248" s="15" t="str">
        <f aca="false">IF(B248="","",IFERROR(INDEX('Mug Marks'!$A$5:$A$204,MATCH(B248,'Mug Marks'!$B$5:$B$204,0)),"(not on Mug Marks)"))</f>
        <v/>
      </c>
      <c r="D248" s="6"/>
      <c r="E248" s="4"/>
      <c r="F248" s="4"/>
      <c r="G248" s="8" t="str">
        <f aca="false">IF(A248="","",A248+Settings!$B$6/24)</f>
        <v/>
      </c>
    </row>
    <row r="249" customFormat="false" ht="15" hidden="false" customHeight="false" outlineLevel="0" collapsed="false">
      <c r="A249" s="14"/>
      <c r="B249" s="5"/>
      <c r="C249" s="15" t="str">
        <f aca="false">IF(B249="","",IFERROR(INDEX('Mug Marks'!$A$5:$A$204,MATCH(B249,'Mug Marks'!$B$5:$B$204,0)),"(not on Mug Marks)"))</f>
        <v/>
      </c>
      <c r="D249" s="6"/>
      <c r="E249" s="4"/>
      <c r="F249" s="4"/>
      <c r="G249" s="8" t="str">
        <f aca="false">IF(A249="","",A249+Settings!$B$6/24)</f>
        <v/>
      </c>
    </row>
    <row r="250" customFormat="false" ht="15" hidden="false" customHeight="false" outlineLevel="0" collapsed="false">
      <c r="A250" s="14"/>
      <c r="B250" s="5"/>
      <c r="C250" s="15" t="str">
        <f aca="false">IF(B250="","",IFERROR(INDEX('Mug Marks'!$A$5:$A$204,MATCH(B250,'Mug Marks'!$B$5:$B$204,0)),"(not on Mug Marks)"))</f>
        <v/>
      </c>
      <c r="D250" s="6"/>
      <c r="E250" s="4"/>
      <c r="F250" s="4"/>
      <c r="G250" s="8" t="str">
        <f aca="false">IF(A250="","",A250+Settings!$B$6/24)</f>
        <v/>
      </c>
    </row>
    <row r="251" customFormat="false" ht="15" hidden="false" customHeight="false" outlineLevel="0" collapsed="false">
      <c r="A251" s="14"/>
      <c r="B251" s="5"/>
      <c r="C251" s="15" t="str">
        <f aca="false">IF(B251="","",IFERROR(INDEX('Mug Marks'!$A$5:$A$204,MATCH(B251,'Mug Marks'!$B$5:$B$204,0)),"(not on Mug Marks)"))</f>
        <v/>
      </c>
      <c r="D251" s="6"/>
      <c r="E251" s="4"/>
      <c r="F251" s="4"/>
      <c r="G251" s="8" t="str">
        <f aca="false">IF(A251="","",A251+Settings!$B$6/24)</f>
        <v/>
      </c>
    </row>
    <row r="252" customFormat="false" ht="15" hidden="false" customHeight="false" outlineLevel="0" collapsed="false">
      <c r="A252" s="14"/>
      <c r="B252" s="5"/>
      <c r="C252" s="15" t="str">
        <f aca="false">IF(B252="","",IFERROR(INDEX('Mug Marks'!$A$5:$A$204,MATCH(B252,'Mug Marks'!$B$5:$B$204,0)),"(not on Mug Marks)"))</f>
        <v/>
      </c>
      <c r="D252" s="6"/>
      <c r="E252" s="4"/>
      <c r="F252" s="4"/>
      <c r="G252" s="8" t="str">
        <f aca="false">IF(A252="","",A252+Settings!$B$6/24)</f>
        <v/>
      </c>
    </row>
    <row r="253" customFormat="false" ht="15" hidden="false" customHeight="false" outlineLevel="0" collapsed="false">
      <c r="A253" s="14"/>
      <c r="B253" s="5"/>
      <c r="C253" s="15" t="str">
        <f aca="false">IF(B253="","",IFERROR(INDEX('Mug Marks'!$A$5:$A$204,MATCH(B253,'Mug Marks'!$B$5:$B$204,0)),"(not on Mug Marks)"))</f>
        <v/>
      </c>
      <c r="D253" s="6"/>
      <c r="E253" s="4"/>
      <c r="F253" s="4"/>
      <c r="G253" s="8" t="str">
        <f aca="false">IF(A253="","",A253+Settings!$B$6/24)</f>
        <v/>
      </c>
    </row>
    <row r="254" customFormat="false" ht="15" hidden="false" customHeight="false" outlineLevel="0" collapsed="false">
      <c r="A254" s="14"/>
      <c r="B254" s="5"/>
      <c r="C254" s="15" t="str">
        <f aca="false">IF(B254="","",IFERROR(INDEX('Mug Marks'!$A$5:$A$204,MATCH(B254,'Mug Marks'!$B$5:$B$204,0)),"(not on Mug Marks)"))</f>
        <v/>
      </c>
      <c r="D254" s="6"/>
      <c r="E254" s="4"/>
      <c r="F254" s="4"/>
      <c r="G254" s="8" t="str">
        <f aca="false">IF(A254="","",A254+Settings!$B$6/24)</f>
        <v/>
      </c>
    </row>
    <row r="255" customFormat="false" ht="15" hidden="false" customHeight="false" outlineLevel="0" collapsed="false">
      <c r="A255" s="14"/>
      <c r="B255" s="5"/>
      <c r="C255" s="15" t="str">
        <f aca="false">IF(B255="","",IFERROR(INDEX('Mug Marks'!$A$5:$A$204,MATCH(B255,'Mug Marks'!$B$5:$B$204,0)),"(not on Mug Marks)"))</f>
        <v/>
      </c>
      <c r="D255" s="6"/>
      <c r="E255" s="4"/>
      <c r="F255" s="4"/>
      <c r="G255" s="8" t="str">
        <f aca="false">IF(A255="","",A255+Settings!$B$6/24)</f>
        <v/>
      </c>
    </row>
    <row r="256" customFormat="false" ht="15" hidden="false" customHeight="false" outlineLevel="0" collapsed="false">
      <c r="A256" s="14"/>
      <c r="B256" s="5"/>
      <c r="C256" s="15" t="str">
        <f aca="false">IF(B256="","",IFERROR(INDEX('Mug Marks'!$A$5:$A$204,MATCH(B256,'Mug Marks'!$B$5:$B$204,0)),"(not on Mug Marks)"))</f>
        <v/>
      </c>
      <c r="D256" s="6"/>
      <c r="E256" s="4"/>
      <c r="F256" s="4"/>
      <c r="G256" s="8" t="str">
        <f aca="false">IF(A256="","",A256+Settings!$B$6/24)</f>
        <v/>
      </c>
    </row>
    <row r="257" customFormat="false" ht="15" hidden="false" customHeight="false" outlineLevel="0" collapsed="false">
      <c r="A257" s="14"/>
      <c r="B257" s="5"/>
      <c r="C257" s="15" t="str">
        <f aca="false">IF(B257="","",IFERROR(INDEX('Mug Marks'!$A$5:$A$204,MATCH(B257,'Mug Marks'!$B$5:$B$204,0)),"(not on Mug Marks)"))</f>
        <v/>
      </c>
      <c r="D257" s="6"/>
      <c r="E257" s="4"/>
      <c r="F257" s="4"/>
      <c r="G257" s="8" t="str">
        <f aca="false">IF(A257="","",A257+Settings!$B$6/24)</f>
        <v/>
      </c>
    </row>
    <row r="258" customFormat="false" ht="15" hidden="false" customHeight="false" outlineLevel="0" collapsed="false">
      <c r="A258" s="14"/>
      <c r="B258" s="5"/>
      <c r="C258" s="15" t="str">
        <f aca="false">IF(B258="","",IFERROR(INDEX('Mug Marks'!$A$5:$A$204,MATCH(B258,'Mug Marks'!$B$5:$B$204,0)),"(not on Mug Marks)"))</f>
        <v/>
      </c>
      <c r="D258" s="6"/>
      <c r="E258" s="4"/>
      <c r="F258" s="4"/>
      <c r="G258" s="8" t="str">
        <f aca="false">IF(A258="","",A258+Settings!$B$6/24)</f>
        <v/>
      </c>
    </row>
    <row r="259" customFormat="false" ht="15" hidden="false" customHeight="false" outlineLevel="0" collapsed="false">
      <c r="A259" s="14"/>
      <c r="B259" s="5"/>
      <c r="C259" s="15" t="str">
        <f aca="false">IF(B259="","",IFERROR(INDEX('Mug Marks'!$A$5:$A$204,MATCH(B259,'Mug Marks'!$B$5:$B$204,0)),"(not on Mug Marks)"))</f>
        <v/>
      </c>
      <c r="D259" s="6"/>
      <c r="E259" s="4"/>
      <c r="F259" s="4"/>
      <c r="G259" s="8" t="str">
        <f aca="false">IF(A259="","",A259+Settings!$B$6/24)</f>
        <v/>
      </c>
    </row>
    <row r="260" customFormat="false" ht="15" hidden="false" customHeight="false" outlineLevel="0" collapsed="false">
      <c r="A260" s="14"/>
      <c r="B260" s="5"/>
      <c r="C260" s="15" t="str">
        <f aca="false">IF(B260="","",IFERROR(INDEX('Mug Marks'!$A$5:$A$204,MATCH(B260,'Mug Marks'!$B$5:$B$204,0)),"(not on Mug Marks)"))</f>
        <v/>
      </c>
      <c r="D260" s="6"/>
      <c r="E260" s="4"/>
      <c r="F260" s="4"/>
      <c r="G260" s="8" t="str">
        <f aca="false">IF(A260="","",A260+Settings!$B$6/24)</f>
        <v/>
      </c>
    </row>
    <row r="261" customFormat="false" ht="15" hidden="false" customHeight="false" outlineLevel="0" collapsed="false">
      <c r="A261" s="14"/>
      <c r="B261" s="5"/>
      <c r="C261" s="15" t="str">
        <f aca="false">IF(B261="","",IFERROR(INDEX('Mug Marks'!$A$5:$A$204,MATCH(B261,'Mug Marks'!$B$5:$B$204,0)),"(not on Mug Marks)"))</f>
        <v/>
      </c>
      <c r="D261" s="6"/>
      <c r="E261" s="4"/>
      <c r="F261" s="4"/>
      <c r="G261" s="8" t="str">
        <f aca="false">IF(A261="","",A261+Settings!$B$6/24)</f>
        <v/>
      </c>
    </row>
    <row r="262" customFormat="false" ht="15" hidden="false" customHeight="false" outlineLevel="0" collapsed="false">
      <c r="A262" s="14"/>
      <c r="B262" s="5"/>
      <c r="C262" s="15" t="str">
        <f aca="false">IF(B262="","",IFERROR(INDEX('Mug Marks'!$A$5:$A$204,MATCH(B262,'Mug Marks'!$B$5:$B$204,0)),"(not on Mug Marks)"))</f>
        <v/>
      </c>
      <c r="D262" s="6"/>
      <c r="E262" s="4"/>
      <c r="F262" s="4"/>
      <c r="G262" s="8" t="str">
        <f aca="false">IF(A262="","",A262+Settings!$B$6/24)</f>
        <v/>
      </c>
    </row>
    <row r="263" customFormat="false" ht="15" hidden="false" customHeight="false" outlineLevel="0" collapsed="false">
      <c r="A263" s="14"/>
      <c r="B263" s="5"/>
      <c r="C263" s="15" t="str">
        <f aca="false">IF(B263="","",IFERROR(INDEX('Mug Marks'!$A$5:$A$204,MATCH(B263,'Mug Marks'!$B$5:$B$204,0)),"(not on Mug Marks)"))</f>
        <v/>
      </c>
      <c r="D263" s="6"/>
      <c r="E263" s="4"/>
      <c r="F263" s="4"/>
      <c r="G263" s="8" t="str">
        <f aca="false">IF(A263="","",A263+Settings!$B$6/24)</f>
        <v/>
      </c>
    </row>
    <row r="264" customFormat="false" ht="15" hidden="false" customHeight="false" outlineLevel="0" collapsed="false">
      <c r="A264" s="14"/>
      <c r="B264" s="5"/>
      <c r="C264" s="15" t="str">
        <f aca="false">IF(B264="","",IFERROR(INDEX('Mug Marks'!$A$5:$A$204,MATCH(B264,'Mug Marks'!$B$5:$B$204,0)),"(not on Mug Marks)"))</f>
        <v/>
      </c>
      <c r="D264" s="6"/>
      <c r="E264" s="4"/>
      <c r="F264" s="4"/>
      <c r="G264" s="8" t="str">
        <f aca="false">IF(A264="","",A264+Settings!$B$6/24)</f>
        <v/>
      </c>
    </row>
    <row r="265" customFormat="false" ht="15" hidden="false" customHeight="false" outlineLevel="0" collapsed="false">
      <c r="A265" s="14"/>
      <c r="B265" s="5"/>
      <c r="C265" s="15" t="str">
        <f aca="false">IF(B265="","",IFERROR(INDEX('Mug Marks'!$A$5:$A$204,MATCH(B265,'Mug Marks'!$B$5:$B$204,0)),"(not on Mug Marks)"))</f>
        <v/>
      </c>
      <c r="D265" s="6"/>
      <c r="E265" s="4"/>
      <c r="F265" s="4"/>
      <c r="G265" s="8" t="str">
        <f aca="false">IF(A265="","",A265+Settings!$B$6/24)</f>
        <v/>
      </c>
    </row>
    <row r="266" customFormat="false" ht="15" hidden="false" customHeight="false" outlineLevel="0" collapsed="false">
      <c r="A266" s="14"/>
      <c r="B266" s="5"/>
      <c r="C266" s="15" t="str">
        <f aca="false">IF(B266="","",IFERROR(INDEX('Mug Marks'!$A$5:$A$204,MATCH(B266,'Mug Marks'!$B$5:$B$204,0)),"(not on Mug Marks)"))</f>
        <v/>
      </c>
      <c r="D266" s="6"/>
      <c r="E266" s="4"/>
      <c r="F266" s="4"/>
      <c r="G266" s="8" t="str">
        <f aca="false">IF(A266="","",A266+Settings!$B$6/24)</f>
        <v/>
      </c>
    </row>
    <row r="267" customFormat="false" ht="15" hidden="false" customHeight="false" outlineLevel="0" collapsed="false">
      <c r="A267" s="14"/>
      <c r="B267" s="5"/>
      <c r="C267" s="15" t="str">
        <f aca="false">IF(B267="","",IFERROR(INDEX('Mug Marks'!$A$5:$A$204,MATCH(B267,'Mug Marks'!$B$5:$B$204,0)),"(not on Mug Marks)"))</f>
        <v/>
      </c>
      <c r="D267" s="6"/>
      <c r="E267" s="4"/>
      <c r="F267" s="4"/>
      <c r="G267" s="8" t="str">
        <f aca="false">IF(A267="","",A267+Settings!$B$6/24)</f>
        <v/>
      </c>
    </row>
    <row r="268" customFormat="false" ht="15" hidden="false" customHeight="false" outlineLevel="0" collapsed="false">
      <c r="A268" s="14"/>
      <c r="B268" s="5"/>
      <c r="C268" s="15" t="str">
        <f aca="false">IF(B268="","",IFERROR(INDEX('Mug Marks'!$A$5:$A$204,MATCH(B268,'Mug Marks'!$B$5:$B$204,0)),"(not on Mug Marks)"))</f>
        <v/>
      </c>
      <c r="D268" s="6"/>
      <c r="E268" s="4"/>
      <c r="F268" s="4"/>
      <c r="G268" s="8" t="str">
        <f aca="false">IF(A268="","",A268+Settings!$B$6/24)</f>
        <v/>
      </c>
    </row>
    <row r="269" customFormat="false" ht="15" hidden="false" customHeight="false" outlineLevel="0" collapsed="false">
      <c r="A269" s="14"/>
      <c r="B269" s="5"/>
      <c r="C269" s="15" t="str">
        <f aca="false">IF(B269="","",IFERROR(INDEX('Mug Marks'!$A$5:$A$204,MATCH(B269,'Mug Marks'!$B$5:$B$204,0)),"(not on Mug Marks)"))</f>
        <v/>
      </c>
      <c r="D269" s="6"/>
      <c r="E269" s="4"/>
      <c r="F269" s="4"/>
      <c r="G269" s="8" t="str">
        <f aca="false">IF(A269="","",A269+Settings!$B$6/24)</f>
        <v/>
      </c>
    </row>
    <row r="270" customFormat="false" ht="15" hidden="false" customHeight="false" outlineLevel="0" collapsed="false">
      <c r="A270" s="14"/>
      <c r="B270" s="5"/>
      <c r="C270" s="15" t="str">
        <f aca="false">IF(B270="","",IFERROR(INDEX('Mug Marks'!$A$5:$A$204,MATCH(B270,'Mug Marks'!$B$5:$B$204,0)),"(not on Mug Marks)"))</f>
        <v/>
      </c>
      <c r="D270" s="6"/>
      <c r="E270" s="4"/>
      <c r="F270" s="4"/>
      <c r="G270" s="8" t="str">
        <f aca="false">IF(A270="","",A270+Settings!$B$6/24)</f>
        <v/>
      </c>
    </row>
    <row r="271" customFormat="false" ht="15" hidden="false" customHeight="false" outlineLevel="0" collapsed="false">
      <c r="A271" s="14"/>
      <c r="B271" s="5"/>
      <c r="C271" s="15" t="str">
        <f aca="false">IF(B271="","",IFERROR(INDEX('Mug Marks'!$A$5:$A$204,MATCH(B271,'Mug Marks'!$B$5:$B$204,0)),"(not on Mug Marks)"))</f>
        <v/>
      </c>
      <c r="D271" s="6"/>
      <c r="E271" s="4"/>
      <c r="F271" s="4"/>
      <c r="G271" s="8" t="str">
        <f aca="false">IF(A271="","",A271+Settings!$B$6/24)</f>
        <v/>
      </c>
    </row>
    <row r="272" customFormat="false" ht="15" hidden="false" customHeight="false" outlineLevel="0" collapsed="false">
      <c r="A272" s="14"/>
      <c r="B272" s="5"/>
      <c r="C272" s="15" t="str">
        <f aca="false">IF(B272="","",IFERROR(INDEX('Mug Marks'!$A$5:$A$204,MATCH(B272,'Mug Marks'!$B$5:$B$204,0)),"(not on Mug Marks)"))</f>
        <v/>
      </c>
      <c r="D272" s="6"/>
      <c r="E272" s="4"/>
      <c r="F272" s="4"/>
      <c r="G272" s="8" t="str">
        <f aca="false">IF(A272="","",A272+Settings!$B$6/24)</f>
        <v/>
      </c>
    </row>
    <row r="273" customFormat="false" ht="15" hidden="false" customHeight="false" outlineLevel="0" collapsed="false">
      <c r="A273" s="14"/>
      <c r="B273" s="5"/>
      <c r="C273" s="15" t="str">
        <f aca="false">IF(B273="","",IFERROR(INDEX('Mug Marks'!$A$5:$A$204,MATCH(B273,'Mug Marks'!$B$5:$B$204,0)),"(not on Mug Marks)"))</f>
        <v/>
      </c>
      <c r="D273" s="6"/>
      <c r="E273" s="4"/>
      <c r="F273" s="4"/>
      <c r="G273" s="8" t="str">
        <f aca="false">IF(A273="","",A273+Settings!$B$6/24)</f>
        <v/>
      </c>
    </row>
    <row r="274" customFormat="false" ht="15" hidden="false" customHeight="false" outlineLevel="0" collapsed="false">
      <c r="A274" s="14"/>
      <c r="B274" s="5"/>
      <c r="C274" s="15" t="str">
        <f aca="false">IF(B274="","",IFERROR(INDEX('Mug Marks'!$A$5:$A$204,MATCH(B274,'Mug Marks'!$B$5:$B$204,0)),"(not on Mug Marks)"))</f>
        <v/>
      </c>
      <c r="D274" s="6"/>
      <c r="E274" s="4"/>
      <c r="F274" s="4"/>
      <c r="G274" s="8" t="str">
        <f aca="false">IF(A274="","",A274+Settings!$B$6/24)</f>
        <v/>
      </c>
    </row>
    <row r="275" customFormat="false" ht="15" hidden="false" customHeight="false" outlineLevel="0" collapsed="false">
      <c r="A275" s="14"/>
      <c r="B275" s="5"/>
      <c r="C275" s="15" t="str">
        <f aca="false">IF(B275="","",IFERROR(INDEX('Mug Marks'!$A$5:$A$204,MATCH(B275,'Mug Marks'!$B$5:$B$204,0)),"(not on Mug Marks)"))</f>
        <v/>
      </c>
      <c r="D275" s="6"/>
      <c r="E275" s="4"/>
      <c r="F275" s="4"/>
      <c r="G275" s="8" t="str">
        <f aca="false">IF(A275="","",A275+Settings!$B$6/24)</f>
        <v/>
      </c>
    </row>
    <row r="276" customFormat="false" ht="15" hidden="false" customHeight="false" outlineLevel="0" collapsed="false">
      <c r="A276" s="14"/>
      <c r="B276" s="5"/>
      <c r="C276" s="15" t="str">
        <f aca="false">IF(B276="","",IFERROR(INDEX('Mug Marks'!$A$5:$A$204,MATCH(B276,'Mug Marks'!$B$5:$B$204,0)),"(not on Mug Marks)"))</f>
        <v/>
      </c>
      <c r="D276" s="6"/>
      <c r="E276" s="4"/>
      <c r="F276" s="4"/>
      <c r="G276" s="8" t="str">
        <f aca="false">IF(A276="","",A276+Settings!$B$6/24)</f>
        <v/>
      </c>
    </row>
    <row r="277" customFormat="false" ht="15" hidden="false" customHeight="false" outlineLevel="0" collapsed="false">
      <c r="A277" s="14"/>
      <c r="B277" s="5"/>
      <c r="C277" s="15" t="str">
        <f aca="false">IF(B277="","",IFERROR(INDEX('Mug Marks'!$A$5:$A$204,MATCH(B277,'Mug Marks'!$B$5:$B$204,0)),"(not on Mug Marks)"))</f>
        <v/>
      </c>
      <c r="D277" s="6"/>
      <c r="E277" s="4"/>
      <c r="F277" s="4"/>
      <c r="G277" s="8" t="str">
        <f aca="false">IF(A277="","",A277+Settings!$B$6/24)</f>
        <v/>
      </c>
    </row>
    <row r="278" customFormat="false" ht="15" hidden="false" customHeight="false" outlineLevel="0" collapsed="false">
      <c r="A278" s="14"/>
      <c r="B278" s="5"/>
      <c r="C278" s="15" t="str">
        <f aca="false">IF(B278="","",IFERROR(INDEX('Mug Marks'!$A$5:$A$204,MATCH(B278,'Mug Marks'!$B$5:$B$204,0)),"(not on Mug Marks)"))</f>
        <v/>
      </c>
      <c r="D278" s="6"/>
      <c r="E278" s="4"/>
      <c r="F278" s="4"/>
      <c r="G278" s="8" t="str">
        <f aca="false">IF(A278="","",A278+Settings!$B$6/24)</f>
        <v/>
      </c>
    </row>
    <row r="279" customFormat="false" ht="15" hidden="false" customHeight="false" outlineLevel="0" collapsed="false">
      <c r="A279" s="14"/>
      <c r="B279" s="5"/>
      <c r="C279" s="15" t="str">
        <f aca="false">IF(B279="","",IFERROR(INDEX('Mug Marks'!$A$5:$A$204,MATCH(B279,'Mug Marks'!$B$5:$B$204,0)),"(not on Mug Marks)"))</f>
        <v/>
      </c>
      <c r="D279" s="6"/>
      <c r="E279" s="4"/>
      <c r="F279" s="4"/>
      <c r="G279" s="8" t="str">
        <f aca="false">IF(A279="","",A279+Settings!$B$6/24)</f>
        <v/>
      </c>
    </row>
    <row r="280" customFormat="false" ht="15" hidden="false" customHeight="false" outlineLevel="0" collapsed="false">
      <c r="A280" s="14"/>
      <c r="B280" s="5"/>
      <c r="C280" s="15" t="str">
        <f aca="false">IF(B280="","",IFERROR(INDEX('Mug Marks'!$A$5:$A$204,MATCH(B280,'Mug Marks'!$B$5:$B$204,0)),"(not on Mug Marks)"))</f>
        <v/>
      </c>
      <c r="D280" s="6"/>
      <c r="E280" s="4"/>
      <c r="F280" s="4"/>
      <c r="G280" s="8" t="str">
        <f aca="false">IF(A280="","",A280+Settings!$B$6/24)</f>
        <v/>
      </c>
    </row>
    <row r="281" customFormat="false" ht="15" hidden="false" customHeight="false" outlineLevel="0" collapsed="false">
      <c r="A281" s="14"/>
      <c r="B281" s="5"/>
      <c r="C281" s="15" t="str">
        <f aca="false">IF(B281="","",IFERROR(INDEX('Mug Marks'!$A$5:$A$204,MATCH(B281,'Mug Marks'!$B$5:$B$204,0)),"(not on Mug Marks)"))</f>
        <v/>
      </c>
      <c r="D281" s="6"/>
      <c r="E281" s="4"/>
      <c r="F281" s="4"/>
      <c r="G281" s="8" t="str">
        <f aca="false">IF(A281="","",A281+Settings!$B$6/24)</f>
        <v/>
      </c>
    </row>
    <row r="282" customFormat="false" ht="15" hidden="false" customHeight="false" outlineLevel="0" collapsed="false">
      <c r="A282" s="14"/>
      <c r="B282" s="5"/>
      <c r="C282" s="15" t="str">
        <f aca="false">IF(B282="","",IFERROR(INDEX('Mug Marks'!$A$5:$A$204,MATCH(B282,'Mug Marks'!$B$5:$B$204,0)),"(not on Mug Marks)"))</f>
        <v/>
      </c>
      <c r="D282" s="6"/>
      <c r="E282" s="4"/>
      <c r="F282" s="4"/>
      <c r="G282" s="8" t="str">
        <f aca="false">IF(A282="","",A282+Settings!$B$6/24)</f>
        <v/>
      </c>
    </row>
    <row r="283" customFormat="false" ht="15" hidden="false" customHeight="false" outlineLevel="0" collapsed="false">
      <c r="A283" s="14"/>
      <c r="B283" s="5"/>
      <c r="C283" s="15" t="str">
        <f aca="false">IF(B283="","",IFERROR(INDEX('Mug Marks'!$A$5:$A$204,MATCH(B283,'Mug Marks'!$B$5:$B$204,0)),"(not on Mug Marks)"))</f>
        <v/>
      </c>
      <c r="D283" s="6"/>
      <c r="E283" s="4"/>
      <c r="F283" s="4"/>
      <c r="G283" s="8" t="str">
        <f aca="false">IF(A283="","",A283+Settings!$B$6/24)</f>
        <v/>
      </c>
    </row>
    <row r="284" customFormat="false" ht="15" hidden="false" customHeight="false" outlineLevel="0" collapsed="false">
      <c r="A284" s="14"/>
      <c r="B284" s="5"/>
      <c r="C284" s="15" t="str">
        <f aca="false">IF(B284="","",IFERROR(INDEX('Mug Marks'!$A$5:$A$204,MATCH(B284,'Mug Marks'!$B$5:$B$204,0)),"(not on Mug Marks)"))</f>
        <v/>
      </c>
      <c r="D284" s="6"/>
      <c r="E284" s="4"/>
      <c r="F284" s="4"/>
      <c r="G284" s="8" t="str">
        <f aca="false">IF(A284="","",A284+Settings!$B$6/24)</f>
        <v/>
      </c>
    </row>
    <row r="285" customFormat="false" ht="15" hidden="false" customHeight="false" outlineLevel="0" collapsed="false">
      <c r="A285" s="14"/>
      <c r="B285" s="5"/>
      <c r="C285" s="15" t="str">
        <f aca="false">IF(B285="","",IFERROR(INDEX('Mug Marks'!$A$5:$A$204,MATCH(B285,'Mug Marks'!$B$5:$B$204,0)),"(not on Mug Marks)"))</f>
        <v/>
      </c>
      <c r="D285" s="6"/>
      <c r="E285" s="4"/>
      <c r="F285" s="4"/>
      <c r="G285" s="8" t="str">
        <f aca="false">IF(A285="","",A285+Settings!$B$6/24)</f>
        <v/>
      </c>
    </row>
    <row r="286" customFormat="false" ht="15" hidden="false" customHeight="false" outlineLevel="0" collapsed="false">
      <c r="A286" s="14"/>
      <c r="B286" s="5"/>
      <c r="C286" s="15" t="str">
        <f aca="false">IF(B286="","",IFERROR(INDEX('Mug Marks'!$A$5:$A$204,MATCH(B286,'Mug Marks'!$B$5:$B$204,0)),"(not on Mug Marks)"))</f>
        <v/>
      </c>
      <c r="D286" s="6"/>
      <c r="E286" s="4"/>
      <c r="F286" s="4"/>
      <c r="G286" s="8" t="str">
        <f aca="false">IF(A286="","",A286+Settings!$B$6/24)</f>
        <v/>
      </c>
    </row>
    <row r="287" customFormat="false" ht="15" hidden="false" customHeight="false" outlineLevel="0" collapsed="false">
      <c r="A287" s="14"/>
      <c r="B287" s="5"/>
      <c r="C287" s="15" t="str">
        <f aca="false">IF(B287="","",IFERROR(INDEX('Mug Marks'!$A$5:$A$204,MATCH(B287,'Mug Marks'!$B$5:$B$204,0)),"(not on Mug Marks)"))</f>
        <v/>
      </c>
      <c r="D287" s="6"/>
      <c r="E287" s="4"/>
      <c r="F287" s="4"/>
      <c r="G287" s="8" t="str">
        <f aca="false">IF(A287="","",A287+Settings!$B$6/24)</f>
        <v/>
      </c>
    </row>
    <row r="288" customFormat="false" ht="15" hidden="false" customHeight="false" outlineLevel="0" collapsed="false">
      <c r="A288" s="14"/>
      <c r="B288" s="5"/>
      <c r="C288" s="15" t="str">
        <f aca="false">IF(B288="","",IFERROR(INDEX('Mug Marks'!$A$5:$A$204,MATCH(B288,'Mug Marks'!$B$5:$B$204,0)),"(not on Mug Marks)"))</f>
        <v/>
      </c>
      <c r="D288" s="6"/>
      <c r="E288" s="4"/>
      <c r="F288" s="4"/>
      <c r="G288" s="8" t="str">
        <f aca="false">IF(A288="","",A288+Settings!$B$6/24)</f>
        <v/>
      </c>
    </row>
    <row r="289" customFormat="false" ht="15" hidden="false" customHeight="false" outlineLevel="0" collapsed="false">
      <c r="A289" s="14"/>
      <c r="B289" s="5"/>
      <c r="C289" s="15" t="str">
        <f aca="false">IF(B289="","",IFERROR(INDEX('Mug Marks'!$A$5:$A$204,MATCH(B289,'Mug Marks'!$B$5:$B$204,0)),"(not on Mug Marks)"))</f>
        <v/>
      </c>
      <c r="D289" s="6"/>
      <c r="E289" s="4"/>
      <c r="F289" s="4"/>
      <c r="G289" s="8" t="str">
        <f aca="false">IF(A289="","",A289+Settings!$B$6/24)</f>
        <v/>
      </c>
    </row>
    <row r="290" customFormat="false" ht="15" hidden="false" customHeight="false" outlineLevel="0" collapsed="false">
      <c r="A290" s="14"/>
      <c r="B290" s="5"/>
      <c r="C290" s="15" t="str">
        <f aca="false">IF(B290="","",IFERROR(INDEX('Mug Marks'!$A$5:$A$204,MATCH(B290,'Mug Marks'!$B$5:$B$204,0)),"(not on Mug Marks)"))</f>
        <v/>
      </c>
      <c r="D290" s="6"/>
      <c r="E290" s="4"/>
      <c r="F290" s="4"/>
      <c r="G290" s="8" t="str">
        <f aca="false">IF(A290="","",A290+Settings!$B$6/24)</f>
        <v/>
      </c>
    </row>
    <row r="291" customFormat="false" ht="15" hidden="false" customHeight="false" outlineLevel="0" collapsed="false">
      <c r="A291" s="14"/>
      <c r="B291" s="5"/>
      <c r="C291" s="15" t="str">
        <f aca="false">IF(B291="","",IFERROR(INDEX('Mug Marks'!$A$5:$A$204,MATCH(B291,'Mug Marks'!$B$5:$B$204,0)),"(not on Mug Marks)"))</f>
        <v/>
      </c>
      <c r="D291" s="6"/>
      <c r="E291" s="4"/>
      <c r="F291" s="4"/>
      <c r="G291" s="8" t="str">
        <f aca="false">IF(A291="","",A291+Settings!$B$6/24)</f>
        <v/>
      </c>
    </row>
    <row r="292" customFormat="false" ht="15" hidden="false" customHeight="false" outlineLevel="0" collapsed="false">
      <c r="A292" s="14"/>
      <c r="B292" s="5"/>
      <c r="C292" s="15" t="str">
        <f aca="false">IF(B292="","",IFERROR(INDEX('Mug Marks'!$A$5:$A$204,MATCH(B292,'Mug Marks'!$B$5:$B$204,0)),"(not on Mug Marks)"))</f>
        <v/>
      </c>
      <c r="D292" s="6"/>
      <c r="E292" s="4"/>
      <c r="F292" s="4"/>
      <c r="G292" s="8" t="str">
        <f aca="false">IF(A292="","",A292+Settings!$B$6/24)</f>
        <v/>
      </c>
    </row>
    <row r="293" customFormat="false" ht="15" hidden="false" customHeight="false" outlineLevel="0" collapsed="false">
      <c r="A293" s="14"/>
      <c r="B293" s="5"/>
      <c r="C293" s="15" t="str">
        <f aca="false">IF(B293="","",IFERROR(INDEX('Mug Marks'!$A$5:$A$204,MATCH(B293,'Mug Marks'!$B$5:$B$204,0)),"(not on Mug Marks)"))</f>
        <v/>
      </c>
      <c r="D293" s="6"/>
      <c r="E293" s="4"/>
      <c r="F293" s="4"/>
      <c r="G293" s="8" t="str">
        <f aca="false">IF(A293="","",A293+Settings!$B$6/24)</f>
        <v/>
      </c>
    </row>
    <row r="294" customFormat="false" ht="15" hidden="false" customHeight="false" outlineLevel="0" collapsed="false">
      <c r="A294" s="14"/>
      <c r="B294" s="5"/>
      <c r="C294" s="15" t="str">
        <f aca="false">IF(B294="","",IFERROR(INDEX('Mug Marks'!$A$5:$A$204,MATCH(B294,'Mug Marks'!$B$5:$B$204,0)),"(not on Mug Marks)"))</f>
        <v/>
      </c>
      <c r="D294" s="6"/>
      <c r="E294" s="4"/>
      <c r="F294" s="4"/>
      <c r="G294" s="8" t="str">
        <f aca="false">IF(A294="","",A294+Settings!$B$6/24)</f>
        <v/>
      </c>
    </row>
    <row r="295" customFormat="false" ht="15" hidden="false" customHeight="false" outlineLevel="0" collapsed="false">
      <c r="A295" s="14"/>
      <c r="B295" s="5"/>
      <c r="C295" s="15" t="str">
        <f aca="false">IF(B295="","",IFERROR(INDEX('Mug Marks'!$A$5:$A$204,MATCH(B295,'Mug Marks'!$B$5:$B$204,0)),"(not on Mug Marks)"))</f>
        <v/>
      </c>
      <c r="D295" s="6"/>
      <c r="E295" s="4"/>
      <c r="F295" s="4"/>
      <c r="G295" s="8" t="str">
        <f aca="false">IF(A295="","",A295+Settings!$B$6/24)</f>
        <v/>
      </c>
    </row>
    <row r="296" customFormat="false" ht="15" hidden="false" customHeight="false" outlineLevel="0" collapsed="false">
      <c r="A296" s="14"/>
      <c r="B296" s="5"/>
      <c r="C296" s="15" t="str">
        <f aca="false">IF(B296="","",IFERROR(INDEX('Mug Marks'!$A$5:$A$204,MATCH(B296,'Mug Marks'!$B$5:$B$204,0)),"(not on Mug Marks)"))</f>
        <v/>
      </c>
      <c r="D296" s="6"/>
      <c r="E296" s="4"/>
      <c r="F296" s="4"/>
      <c r="G296" s="8" t="str">
        <f aca="false">IF(A296="","",A296+Settings!$B$6/24)</f>
        <v/>
      </c>
    </row>
    <row r="297" customFormat="false" ht="15" hidden="false" customHeight="false" outlineLevel="0" collapsed="false">
      <c r="A297" s="14"/>
      <c r="B297" s="5"/>
      <c r="C297" s="15" t="str">
        <f aca="false">IF(B297="","",IFERROR(INDEX('Mug Marks'!$A$5:$A$204,MATCH(B297,'Mug Marks'!$B$5:$B$204,0)),"(not on Mug Marks)"))</f>
        <v/>
      </c>
      <c r="D297" s="6"/>
      <c r="E297" s="4"/>
      <c r="F297" s="4"/>
      <c r="G297" s="8" t="str">
        <f aca="false">IF(A297="","",A297+Settings!$B$6/24)</f>
        <v/>
      </c>
    </row>
    <row r="298" customFormat="false" ht="15" hidden="false" customHeight="false" outlineLevel="0" collapsed="false">
      <c r="A298" s="14"/>
      <c r="B298" s="5"/>
      <c r="C298" s="15" t="str">
        <f aca="false">IF(B298="","",IFERROR(INDEX('Mug Marks'!$A$5:$A$204,MATCH(B298,'Mug Marks'!$B$5:$B$204,0)),"(not on Mug Marks)"))</f>
        <v/>
      </c>
      <c r="D298" s="6"/>
      <c r="E298" s="4"/>
      <c r="F298" s="4"/>
      <c r="G298" s="8" t="str">
        <f aca="false">IF(A298="","",A298+Settings!$B$6/24)</f>
        <v/>
      </c>
    </row>
    <row r="299" customFormat="false" ht="15" hidden="false" customHeight="false" outlineLevel="0" collapsed="false">
      <c r="A299" s="14"/>
      <c r="B299" s="5"/>
      <c r="C299" s="15" t="str">
        <f aca="false">IF(B299="","",IFERROR(INDEX('Mug Marks'!$A$5:$A$204,MATCH(B299,'Mug Marks'!$B$5:$B$204,0)),"(not on Mug Marks)"))</f>
        <v/>
      </c>
      <c r="D299" s="6"/>
      <c r="E299" s="4"/>
      <c r="F299" s="4"/>
      <c r="G299" s="8" t="str">
        <f aca="false">IF(A299="","",A299+Settings!$B$6/24)</f>
        <v/>
      </c>
    </row>
    <row r="300" customFormat="false" ht="15" hidden="false" customHeight="false" outlineLevel="0" collapsed="false">
      <c r="A300" s="14"/>
      <c r="B300" s="5"/>
      <c r="C300" s="15" t="str">
        <f aca="false">IF(B300="","",IFERROR(INDEX('Mug Marks'!$A$5:$A$204,MATCH(B300,'Mug Marks'!$B$5:$B$204,0)),"(not on Mug Marks)"))</f>
        <v/>
      </c>
      <c r="D300" s="6"/>
      <c r="E300" s="4"/>
      <c r="F300" s="4"/>
      <c r="G300" s="8" t="str">
        <f aca="false">IF(A300="","",A300+Settings!$B$6/24)</f>
        <v/>
      </c>
    </row>
    <row r="301" customFormat="false" ht="15" hidden="false" customHeight="false" outlineLevel="0" collapsed="false">
      <c r="A301" s="14"/>
      <c r="B301" s="5"/>
      <c r="C301" s="15" t="str">
        <f aca="false">IF(B301="","",IFERROR(INDEX('Mug Marks'!$A$5:$A$204,MATCH(B301,'Mug Marks'!$B$5:$B$204,0)),"(not on Mug Marks)"))</f>
        <v/>
      </c>
      <c r="D301" s="6"/>
      <c r="E301" s="4"/>
      <c r="F301" s="4"/>
      <c r="G301" s="8" t="str">
        <f aca="false">IF(A301="","",A301+Settings!$B$6/24)</f>
        <v/>
      </c>
    </row>
    <row r="302" customFormat="false" ht="15" hidden="false" customHeight="false" outlineLevel="0" collapsed="false">
      <c r="A302" s="14"/>
      <c r="B302" s="5"/>
      <c r="C302" s="15" t="str">
        <f aca="false">IF(B302="","",IFERROR(INDEX('Mug Marks'!$A$5:$A$204,MATCH(B302,'Mug Marks'!$B$5:$B$204,0)),"(not on Mug Marks)"))</f>
        <v/>
      </c>
      <c r="D302" s="6"/>
      <c r="E302" s="4"/>
      <c r="F302" s="4"/>
      <c r="G302" s="8" t="str">
        <f aca="false">IF(A302="","",A302+Settings!$B$6/24)</f>
        <v/>
      </c>
    </row>
    <row r="303" customFormat="false" ht="15" hidden="false" customHeight="false" outlineLevel="0" collapsed="false">
      <c r="A303" s="14"/>
      <c r="B303" s="5"/>
      <c r="C303" s="15" t="str">
        <f aca="false">IF(B303="","",IFERROR(INDEX('Mug Marks'!$A$5:$A$204,MATCH(B303,'Mug Marks'!$B$5:$B$204,0)),"(not on Mug Marks)"))</f>
        <v/>
      </c>
      <c r="D303" s="6"/>
      <c r="E303" s="4"/>
      <c r="F303" s="4"/>
      <c r="G303" s="8" t="str">
        <f aca="false">IF(A303="","",A303+Settings!$B$6/24)</f>
        <v/>
      </c>
    </row>
    <row r="304" customFormat="false" ht="15" hidden="false" customHeight="false" outlineLevel="0" collapsed="false">
      <c r="A304" s="14"/>
      <c r="B304" s="5"/>
      <c r="C304" s="15" t="str">
        <f aca="false">IF(B304="","",IFERROR(INDEX('Mug Marks'!$A$5:$A$204,MATCH(B304,'Mug Marks'!$B$5:$B$204,0)),"(not on Mug Marks)"))</f>
        <v/>
      </c>
      <c r="D304" s="6"/>
      <c r="E304" s="4"/>
      <c r="F304" s="4"/>
      <c r="G304" s="8" t="str">
        <f aca="false">IF(A304="","",A304+Settings!$B$6/24)</f>
        <v/>
      </c>
    </row>
    <row r="305" customFormat="false" ht="15" hidden="false" customHeight="false" outlineLevel="0" collapsed="false">
      <c r="A305" s="14"/>
      <c r="B305" s="5"/>
      <c r="C305" s="15" t="str">
        <f aca="false">IF(B305="","",IFERROR(INDEX('Mug Marks'!$A$5:$A$204,MATCH(B305,'Mug Marks'!$B$5:$B$204,0)),"(not on Mug Marks)"))</f>
        <v/>
      </c>
      <c r="D305" s="6"/>
      <c r="E305" s="4"/>
      <c r="F305" s="4"/>
      <c r="G305" s="8" t="str">
        <f aca="false">IF(A305="","",A305+Settings!$B$6/24)</f>
        <v/>
      </c>
    </row>
    <row r="306" customFormat="false" ht="15" hidden="false" customHeight="false" outlineLevel="0" collapsed="false">
      <c r="A306" s="14"/>
      <c r="B306" s="5"/>
      <c r="C306" s="15" t="str">
        <f aca="false">IF(B306="","",IFERROR(INDEX('Mug Marks'!$A$5:$A$204,MATCH(B306,'Mug Marks'!$B$5:$B$204,0)),"(not on Mug Marks)"))</f>
        <v/>
      </c>
      <c r="D306" s="6"/>
      <c r="E306" s="4"/>
      <c r="F306" s="4"/>
      <c r="G306" s="8" t="str">
        <f aca="false">IF(A306="","",A306+Settings!$B$6/24)</f>
        <v/>
      </c>
    </row>
    <row r="307" customFormat="false" ht="15" hidden="false" customHeight="false" outlineLevel="0" collapsed="false">
      <c r="A307" s="14"/>
      <c r="B307" s="5"/>
      <c r="C307" s="15" t="str">
        <f aca="false">IF(B307="","",IFERROR(INDEX('Mug Marks'!$A$5:$A$204,MATCH(B307,'Mug Marks'!$B$5:$B$204,0)),"(not on Mug Marks)"))</f>
        <v/>
      </c>
      <c r="D307" s="6"/>
      <c r="E307" s="4"/>
      <c r="F307" s="4"/>
      <c r="G307" s="8" t="str">
        <f aca="false">IF(A307="","",A307+Settings!$B$6/24)</f>
        <v/>
      </c>
    </row>
    <row r="308" customFormat="false" ht="15" hidden="false" customHeight="false" outlineLevel="0" collapsed="false">
      <c r="A308" s="14"/>
      <c r="B308" s="5"/>
      <c r="C308" s="15" t="str">
        <f aca="false">IF(B308="","",IFERROR(INDEX('Mug Marks'!$A$5:$A$204,MATCH(B308,'Mug Marks'!$B$5:$B$204,0)),"(not on Mug Marks)"))</f>
        <v/>
      </c>
      <c r="D308" s="6"/>
      <c r="E308" s="4"/>
      <c r="F308" s="4"/>
      <c r="G308" s="8" t="str">
        <f aca="false">IF(A308="","",A308+Settings!$B$6/24)</f>
        <v/>
      </c>
    </row>
    <row r="309" customFormat="false" ht="15" hidden="false" customHeight="false" outlineLevel="0" collapsed="false">
      <c r="A309" s="14"/>
      <c r="B309" s="5"/>
      <c r="C309" s="15" t="str">
        <f aca="false">IF(B309="","",IFERROR(INDEX('Mug Marks'!$A$5:$A$204,MATCH(B309,'Mug Marks'!$B$5:$B$204,0)),"(not on Mug Marks)"))</f>
        <v/>
      </c>
      <c r="D309" s="6"/>
      <c r="E309" s="4"/>
      <c r="F309" s="4"/>
      <c r="G309" s="8" t="str">
        <f aca="false">IF(A309="","",A309+Settings!$B$6/24)</f>
        <v/>
      </c>
    </row>
    <row r="310" customFormat="false" ht="15" hidden="false" customHeight="false" outlineLevel="0" collapsed="false">
      <c r="A310" s="14"/>
      <c r="B310" s="5"/>
      <c r="C310" s="15" t="str">
        <f aca="false">IF(B310="","",IFERROR(INDEX('Mug Marks'!$A$5:$A$204,MATCH(B310,'Mug Marks'!$B$5:$B$204,0)),"(not on Mug Marks)"))</f>
        <v/>
      </c>
      <c r="D310" s="6"/>
      <c r="E310" s="4"/>
      <c r="F310" s="4"/>
      <c r="G310" s="8" t="str">
        <f aca="false">IF(A310="","",A310+Settings!$B$6/24)</f>
        <v/>
      </c>
    </row>
    <row r="311" customFormat="false" ht="15" hidden="false" customHeight="false" outlineLevel="0" collapsed="false">
      <c r="A311" s="14"/>
      <c r="B311" s="5"/>
      <c r="C311" s="15" t="str">
        <f aca="false">IF(B311="","",IFERROR(INDEX('Mug Marks'!$A$5:$A$204,MATCH(B311,'Mug Marks'!$B$5:$B$204,0)),"(not on Mug Marks)"))</f>
        <v/>
      </c>
      <c r="D311" s="6"/>
      <c r="E311" s="4"/>
      <c r="F311" s="4"/>
      <c r="G311" s="8" t="str">
        <f aca="false">IF(A311="","",A311+Settings!$B$6/24)</f>
        <v/>
      </c>
    </row>
    <row r="312" customFormat="false" ht="15" hidden="false" customHeight="false" outlineLevel="0" collapsed="false">
      <c r="A312" s="14"/>
      <c r="B312" s="5"/>
      <c r="C312" s="15" t="str">
        <f aca="false">IF(B312="","",IFERROR(INDEX('Mug Marks'!$A$5:$A$204,MATCH(B312,'Mug Marks'!$B$5:$B$204,0)),"(not on Mug Marks)"))</f>
        <v/>
      </c>
      <c r="D312" s="6"/>
      <c r="E312" s="4"/>
      <c r="F312" s="4"/>
      <c r="G312" s="8" t="str">
        <f aca="false">IF(A312="","",A312+Settings!$B$6/24)</f>
        <v/>
      </c>
    </row>
    <row r="313" customFormat="false" ht="15" hidden="false" customHeight="false" outlineLevel="0" collapsed="false">
      <c r="A313" s="14"/>
      <c r="B313" s="5"/>
      <c r="C313" s="15" t="str">
        <f aca="false">IF(B313="","",IFERROR(INDEX('Mug Marks'!$A$5:$A$204,MATCH(B313,'Mug Marks'!$B$5:$B$204,0)),"(not on Mug Marks)"))</f>
        <v/>
      </c>
      <c r="D313" s="6"/>
      <c r="E313" s="4"/>
      <c r="F313" s="4"/>
      <c r="G313" s="8" t="str">
        <f aca="false">IF(A313="","",A313+Settings!$B$6/24)</f>
        <v/>
      </c>
    </row>
    <row r="314" customFormat="false" ht="15" hidden="false" customHeight="false" outlineLevel="0" collapsed="false">
      <c r="A314" s="14"/>
      <c r="B314" s="5"/>
      <c r="C314" s="15" t="str">
        <f aca="false">IF(B314="","",IFERROR(INDEX('Mug Marks'!$A$5:$A$204,MATCH(B314,'Mug Marks'!$B$5:$B$204,0)),"(not on Mug Marks)"))</f>
        <v/>
      </c>
      <c r="D314" s="6"/>
      <c r="E314" s="4"/>
      <c r="F314" s="4"/>
      <c r="G314" s="8" t="str">
        <f aca="false">IF(A314="","",A314+Settings!$B$6/24)</f>
        <v/>
      </c>
    </row>
    <row r="315" customFormat="false" ht="15" hidden="false" customHeight="false" outlineLevel="0" collapsed="false">
      <c r="A315" s="14"/>
      <c r="B315" s="5"/>
      <c r="C315" s="15" t="str">
        <f aca="false">IF(B315="","",IFERROR(INDEX('Mug Marks'!$A$5:$A$204,MATCH(B315,'Mug Marks'!$B$5:$B$204,0)),"(not on Mug Marks)"))</f>
        <v/>
      </c>
      <c r="D315" s="6"/>
      <c r="E315" s="4"/>
      <c r="F315" s="4"/>
      <c r="G315" s="8" t="str">
        <f aca="false">IF(A315="","",A315+Settings!$B$6/24)</f>
        <v/>
      </c>
    </row>
    <row r="316" customFormat="false" ht="15" hidden="false" customHeight="false" outlineLevel="0" collapsed="false">
      <c r="A316" s="14"/>
      <c r="B316" s="5"/>
      <c r="C316" s="15" t="str">
        <f aca="false">IF(B316="","",IFERROR(INDEX('Mug Marks'!$A$5:$A$204,MATCH(B316,'Mug Marks'!$B$5:$B$204,0)),"(not on Mug Marks)"))</f>
        <v/>
      </c>
      <c r="D316" s="6"/>
      <c r="E316" s="4"/>
      <c r="F316" s="4"/>
      <c r="G316" s="8" t="str">
        <f aca="false">IF(A316="","",A316+Settings!$B$6/24)</f>
        <v/>
      </c>
    </row>
    <row r="317" customFormat="false" ht="15" hidden="false" customHeight="false" outlineLevel="0" collapsed="false">
      <c r="A317" s="14"/>
      <c r="B317" s="5"/>
      <c r="C317" s="15" t="str">
        <f aca="false">IF(B317="","",IFERROR(INDEX('Mug Marks'!$A$5:$A$204,MATCH(B317,'Mug Marks'!$B$5:$B$204,0)),"(not on Mug Marks)"))</f>
        <v/>
      </c>
      <c r="D317" s="6"/>
      <c r="E317" s="4"/>
      <c r="F317" s="4"/>
      <c r="G317" s="8" t="str">
        <f aca="false">IF(A317="","",A317+Settings!$B$6/24)</f>
        <v/>
      </c>
    </row>
    <row r="318" customFormat="false" ht="15" hidden="false" customHeight="false" outlineLevel="0" collapsed="false">
      <c r="A318" s="14"/>
      <c r="B318" s="5"/>
      <c r="C318" s="15" t="str">
        <f aca="false">IF(B318="","",IFERROR(INDEX('Mug Marks'!$A$5:$A$204,MATCH(B318,'Mug Marks'!$B$5:$B$204,0)),"(not on Mug Marks)"))</f>
        <v/>
      </c>
      <c r="D318" s="6"/>
      <c r="E318" s="4"/>
      <c r="F318" s="4"/>
      <c r="G318" s="8" t="str">
        <f aca="false">IF(A318="","",A318+Settings!$B$6/24)</f>
        <v/>
      </c>
    </row>
    <row r="319" customFormat="false" ht="15" hidden="false" customHeight="false" outlineLevel="0" collapsed="false">
      <c r="A319" s="14"/>
      <c r="B319" s="5"/>
      <c r="C319" s="15" t="str">
        <f aca="false">IF(B319="","",IFERROR(INDEX('Mug Marks'!$A$5:$A$204,MATCH(B319,'Mug Marks'!$B$5:$B$204,0)),"(not on Mug Marks)"))</f>
        <v/>
      </c>
      <c r="D319" s="6"/>
      <c r="E319" s="4"/>
      <c r="F319" s="4"/>
      <c r="G319" s="8" t="str">
        <f aca="false">IF(A319="","",A319+Settings!$B$6/24)</f>
        <v/>
      </c>
    </row>
    <row r="320" customFormat="false" ht="15" hidden="false" customHeight="false" outlineLevel="0" collapsed="false">
      <c r="A320" s="14"/>
      <c r="B320" s="5"/>
      <c r="C320" s="15" t="str">
        <f aca="false">IF(B320="","",IFERROR(INDEX('Mug Marks'!$A$5:$A$204,MATCH(B320,'Mug Marks'!$B$5:$B$204,0)),"(not on Mug Marks)"))</f>
        <v/>
      </c>
      <c r="D320" s="6"/>
      <c r="E320" s="4"/>
      <c r="F320" s="4"/>
      <c r="G320" s="8" t="str">
        <f aca="false">IF(A320="","",A320+Settings!$B$6/24)</f>
        <v/>
      </c>
    </row>
    <row r="321" customFormat="false" ht="15" hidden="false" customHeight="false" outlineLevel="0" collapsed="false">
      <c r="A321" s="14"/>
      <c r="B321" s="5"/>
      <c r="C321" s="15" t="str">
        <f aca="false">IF(B321="","",IFERROR(INDEX('Mug Marks'!$A$5:$A$204,MATCH(B321,'Mug Marks'!$B$5:$B$204,0)),"(not on Mug Marks)"))</f>
        <v/>
      </c>
      <c r="D321" s="6"/>
      <c r="E321" s="4"/>
      <c r="F321" s="4"/>
      <c r="G321" s="8" t="str">
        <f aca="false">IF(A321="","",A321+Settings!$B$6/24)</f>
        <v/>
      </c>
    </row>
    <row r="322" customFormat="false" ht="15" hidden="false" customHeight="false" outlineLevel="0" collapsed="false">
      <c r="A322" s="14"/>
      <c r="B322" s="5"/>
      <c r="C322" s="15" t="str">
        <f aca="false">IF(B322="","",IFERROR(INDEX('Mug Marks'!$A$5:$A$204,MATCH(B322,'Mug Marks'!$B$5:$B$204,0)),"(not on Mug Marks)"))</f>
        <v/>
      </c>
      <c r="D322" s="6"/>
      <c r="E322" s="4"/>
      <c r="F322" s="4"/>
      <c r="G322" s="8" t="str">
        <f aca="false">IF(A322="","",A322+Settings!$B$6/24)</f>
        <v/>
      </c>
    </row>
    <row r="323" customFormat="false" ht="15" hidden="false" customHeight="false" outlineLevel="0" collapsed="false">
      <c r="A323" s="14"/>
      <c r="B323" s="5"/>
      <c r="C323" s="15" t="str">
        <f aca="false">IF(B323="","",IFERROR(INDEX('Mug Marks'!$A$5:$A$204,MATCH(B323,'Mug Marks'!$B$5:$B$204,0)),"(not on Mug Marks)"))</f>
        <v/>
      </c>
      <c r="D323" s="6"/>
      <c r="E323" s="4"/>
      <c r="F323" s="4"/>
      <c r="G323" s="8" t="str">
        <f aca="false">IF(A323="","",A323+Settings!$B$6/24)</f>
        <v/>
      </c>
    </row>
    <row r="324" customFormat="false" ht="15" hidden="false" customHeight="false" outlineLevel="0" collapsed="false">
      <c r="A324" s="14"/>
      <c r="B324" s="5"/>
      <c r="C324" s="15" t="str">
        <f aca="false">IF(B324="","",IFERROR(INDEX('Mug Marks'!$A$5:$A$204,MATCH(B324,'Mug Marks'!$B$5:$B$204,0)),"(not on Mug Marks)"))</f>
        <v/>
      </c>
      <c r="D324" s="6"/>
      <c r="E324" s="4"/>
      <c r="F324" s="4"/>
      <c r="G324" s="8" t="str">
        <f aca="false">IF(A324="","",A324+Settings!$B$6/24)</f>
        <v/>
      </c>
    </row>
    <row r="325" customFormat="false" ht="15" hidden="false" customHeight="false" outlineLevel="0" collapsed="false">
      <c r="A325" s="14"/>
      <c r="B325" s="5"/>
      <c r="C325" s="15" t="str">
        <f aca="false">IF(B325="","",IFERROR(INDEX('Mug Marks'!$A$5:$A$204,MATCH(B325,'Mug Marks'!$B$5:$B$204,0)),"(not on Mug Marks)"))</f>
        <v/>
      </c>
      <c r="D325" s="6"/>
      <c r="E325" s="4"/>
      <c r="F325" s="4"/>
      <c r="G325" s="8" t="str">
        <f aca="false">IF(A325="","",A325+Settings!$B$6/24)</f>
        <v/>
      </c>
    </row>
    <row r="326" customFormat="false" ht="15" hidden="false" customHeight="false" outlineLevel="0" collapsed="false">
      <c r="A326" s="14"/>
      <c r="B326" s="5"/>
      <c r="C326" s="15" t="str">
        <f aca="false">IF(B326="","",IFERROR(INDEX('Mug Marks'!$A$5:$A$204,MATCH(B326,'Mug Marks'!$B$5:$B$204,0)),"(not on Mug Marks)"))</f>
        <v/>
      </c>
      <c r="D326" s="6"/>
      <c r="E326" s="4"/>
      <c r="F326" s="4"/>
      <c r="G326" s="8" t="str">
        <f aca="false">IF(A326="","",A326+Settings!$B$6/24)</f>
        <v/>
      </c>
    </row>
    <row r="327" customFormat="false" ht="15" hidden="false" customHeight="false" outlineLevel="0" collapsed="false">
      <c r="A327" s="14"/>
      <c r="B327" s="5"/>
      <c r="C327" s="15" t="str">
        <f aca="false">IF(B327="","",IFERROR(INDEX('Mug Marks'!$A$5:$A$204,MATCH(B327,'Mug Marks'!$B$5:$B$204,0)),"(not on Mug Marks)"))</f>
        <v/>
      </c>
      <c r="D327" s="6"/>
      <c r="E327" s="4"/>
      <c r="F327" s="4"/>
      <c r="G327" s="8" t="str">
        <f aca="false">IF(A327="","",A327+Settings!$B$6/24)</f>
        <v/>
      </c>
    </row>
    <row r="328" customFormat="false" ht="15" hidden="false" customHeight="false" outlineLevel="0" collapsed="false">
      <c r="A328" s="14"/>
      <c r="B328" s="5"/>
      <c r="C328" s="15" t="str">
        <f aca="false">IF(B328="","",IFERROR(INDEX('Mug Marks'!$A$5:$A$204,MATCH(B328,'Mug Marks'!$B$5:$B$204,0)),"(not on Mug Marks)"))</f>
        <v/>
      </c>
      <c r="D328" s="6"/>
      <c r="E328" s="4"/>
      <c r="F328" s="4"/>
      <c r="G328" s="8" t="str">
        <f aca="false">IF(A328="","",A328+Settings!$B$6/24)</f>
        <v/>
      </c>
    </row>
    <row r="329" customFormat="false" ht="15" hidden="false" customHeight="false" outlineLevel="0" collapsed="false">
      <c r="A329" s="14"/>
      <c r="B329" s="5"/>
      <c r="C329" s="15" t="str">
        <f aca="false">IF(B329="","",IFERROR(INDEX('Mug Marks'!$A$5:$A$204,MATCH(B329,'Mug Marks'!$B$5:$B$204,0)),"(not on Mug Marks)"))</f>
        <v/>
      </c>
      <c r="D329" s="6"/>
      <c r="E329" s="4"/>
      <c r="F329" s="4"/>
      <c r="G329" s="8" t="str">
        <f aca="false">IF(A329="","",A329+Settings!$B$6/24)</f>
        <v/>
      </c>
    </row>
    <row r="330" customFormat="false" ht="15" hidden="false" customHeight="false" outlineLevel="0" collapsed="false">
      <c r="A330" s="14"/>
      <c r="B330" s="5"/>
      <c r="C330" s="15" t="str">
        <f aca="false">IF(B330="","",IFERROR(INDEX('Mug Marks'!$A$5:$A$204,MATCH(B330,'Mug Marks'!$B$5:$B$204,0)),"(not on Mug Marks)"))</f>
        <v/>
      </c>
      <c r="D330" s="6"/>
      <c r="E330" s="4"/>
      <c r="F330" s="4"/>
      <c r="G330" s="8" t="str">
        <f aca="false">IF(A330="","",A330+Settings!$B$6/24)</f>
        <v/>
      </c>
    </row>
    <row r="331" customFormat="false" ht="15" hidden="false" customHeight="false" outlineLevel="0" collapsed="false">
      <c r="A331" s="14"/>
      <c r="B331" s="5"/>
      <c r="C331" s="15" t="str">
        <f aca="false">IF(B331="","",IFERROR(INDEX('Mug Marks'!$A$5:$A$204,MATCH(B331,'Mug Marks'!$B$5:$B$204,0)),"(not on Mug Marks)"))</f>
        <v/>
      </c>
      <c r="D331" s="6"/>
      <c r="E331" s="4"/>
      <c r="F331" s="4"/>
      <c r="G331" s="8" t="str">
        <f aca="false">IF(A331="","",A331+Settings!$B$6/24)</f>
        <v/>
      </c>
    </row>
    <row r="332" customFormat="false" ht="15" hidden="false" customHeight="false" outlineLevel="0" collapsed="false">
      <c r="A332" s="14"/>
      <c r="B332" s="5"/>
      <c r="C332" s="15" t="str">
        <f aca="false">IF(B332="","",IFERROR(INDEX('Mug Marks'!$A$5:$A$204,MATCH(B332,'Mug Marks'!$B$5:$B$204,0)),"(not on Mug Marks)"))</f>
        <v/>
      </c>
      <c r="D332" s="6"/>
      <c r="E332" s="4"/>
      <c r="F332" s="4"/>
      <c r="G332" s="8" t="str">
        <f aca="false">IF(A332="","",A332+Settings!$B$6/24)</f>
        <v/>
      </c>
    </row>
    <row r="333" customFormat="false" ht="15" hidden="false" customHeight="false" outlineLevel="0" collapsed="false">
      <c r="A333" s="14"/>
      <c r="B333" s="5"/>
      <c r="C333" s="15" t="str">
        <f aca="false">IF(B333="","",IFERROR(INDEX('Mug Marks'!$A$5:$A$204,MATCH(B333,'Mug Marks'!$B$5:$B$204,0)),"(not on Mug Marks)"))</f>
        <v/>
      </c>
      <c r="D333" s="6"/>
      <c r="E333" s="4"/>
      <c r="F333" s="4"/>
      <c r="G333" s="8" t="str">
        <f aca="false">IF(A333="","",A333+Settings!$B$6/24)</f>
        <v/>
      </c>
    </row>
    <row r="334" customFormat="false" ht="15" hidden="false" customHeight="false" outlineLevel="0" collapsed="false">
      <c r="A334" s="14"/>
      <c r="B334" s="5"/>
      <c r="C334" s="15" t="str">
        <f aca="false">IF(B334="","",IFERROR(INDEX('Mug Marks'!$A$5:$A$204,MATCH(B334,'Mug Marks'!$B$5:$B$204,0)),"(not on Mug Marks)"))</f>
        <v/>
      </c>
      <c r="D334" s="6"/>
      <c r="E334" s="4"/>
      <c r="F334" s="4"/>
      <c r="G334" s="8" t="str">
        <f aca="false">IF(A334="","",A334+Settings!$B$6/24)</f>
        <v/>
      </c>
    </row>
    <row r="335" customFormat="false" ht="15" hidden="false" customHeight="false" outlineLevel="0" collapsed="false">
      <c r="A335" s="14"/>
      <c r="B335" s="5"/>
      <c r="C335" s="15" t="str">
        <f aca="false">IF(B335="","",IFERROR(INDEX('Mug Marks'!$A$5:$A$204,MATCH(B335,'Mug Marks'!$B$5:$B$204,0)),"(not on Mug Marks)"))</f>
        <v/>
      </c>
      <c r="D335" s="6"/>
      <c r="E335" s="4"/>
      <c r="F335" s="4"/>
      <c r="G335" s="8" t="str">
        <f aca="false">IF(A335="","",A335+Settings!$B$6/24)</f>
        <v/>
      </c>
    </row>
    <row r="336" customFormat="false" ht="15" hidden="false" customHeight="false" outlineLevel="0" collapsed="false">
      <c r="A336" s="14"/>
      <c r="B336" s="5"/>
      <c r="C336" s="15" t="str">
        <f aca="false">IF(B336="","",IFERROR(INDEX('Mug Marks'!$A$5:$A$204,MATCH(B336,'Mug Marks'!$B$5:$B$204,0)),"(not on Mug Marks)"))</f>
        <v/>
      </c>
      <c r="D336" s="6"/>
      <c r="E336" s="4"/>
      <c r="F336" s="4"/>
      <c r="G336" s="8" t="str">
        <f aca="false">IF(A336="","",A336+Settings!$B$6/24)</f>
        <v/>
      </c>
    </row>
    <row r="337" customFormat="false" ht="15" hidden="false" customHeight="false" outlineLevel="0" collapsed="false">
      <c r="A337" s="14"/>
      <c r="B337" s="5"/>
      <c r="C337" s="15" t="str">
        <f aca="false">IF(B337="","",IFERROR(INDEX('Mug Marks'!$A$5:$A$204,MATCH(B337,'Mug Marks'!$B$5:$B$204,0)),"(not on Mug Marks)"))</f>
        <v/>
      </c>
      <c r="D337" s="6"/>
      <c r="E337" s="4"/>
      <c r="F337" s="4"/>
      <c r="G337" s="8" t="str">
        <f aca="false">IF(A337="","",A337+Settings!$B$6/24)</f>
        <v/>
      </c>
    </row>
    <row r="338" customFormat="false" ht="15" hidden="false" customHeight="false" outlineLevel="0" collapsed="false">
      <c r="A338" s="14"/>
      <c r="B338" s="5"/>
      <c r="C338" s="15" t="str">
        <f aca="false">IF(B338="","",IFERROR(INDEX('Mug Marks'!$A$5:$A$204,MATCH(B338,'Mug Marks'!$B$5:$B$204,0)),"(not on Mug Marks)"))</f>
        <v/>
      </c>
      <c r="D338" s="6"/>
      <c r="E338" s="4"/>
      <c r="F338" s="4"/>
      <c r="G338" s="8" t="str">
        <f aca="false">IF(A338="","",A338+Settings!$B$6/24)</f>
        <v/>
      </c>
    </row>
    <row r="339" customFormat="false" ht="15" hidden="false" customHeight="false" outlineLevel="0" collapsed="false">
      <c r="A339" s="14"/>
      <c r="B339" s="5"/>
      <c r="C339" s="15" t="str">
        <f aca="false">IF(B339="","",IFERROR(INDEX('Mug Marks'!$A$5:$A$204,MATCH(B339,'Mug Marks'!$B$5:$B$204,0)),"(not on Mug Marks)"))</f>
        <v/>
      </c>
      <c r="D339" s="6"/>
      <c r="E339" s="4"/>
      <c r="F339" s="4"/>
      <c r="G339" s="8" t="str">
        <f aca="false">IF(A339="","",A339+Settings!$B$6/24)</f>
        <v/>
      </c>
    </row>
    <row r="340" customFormat="false" ht="15" hidden="false" customHeight="false" outlineLevel="0" collapsed="false">
      <c r="A340" s="14"/>
      <c r="B340" s="5"/>
      <c r="C340" s="15" t="str">
        <f aca="false">IF(B340="","",IFERROR(INDEX('Mug Marks'!$A$5:$A$204,MATCH(B340,'Mug Marks'!$B$5:$B$204,0)),"(not on Mug Marks)"))</f>
        <v/>
      </c>
      <c r="D340" s="6"/>
      <c r="E340" s="4"/>
      <c r="F340" s="4"/>
      <c r="G340" s="8" t="str">
        <f aca="false">IF(A340="","",A340+Settings!$B$6/24)</f>
        <v/>
      </c>
    </row>
    <row r="341" customFormat="false" ht="15" hidden="false" customHeight="false" outlineLevel="0" collapsed="false">
      <c r="A341" s="14"/>
      <c r="B341" s="5"/>
      <c r="C341" s="15" t="str">
        <f aca="false">IF(B341="","",IFERROR(INDEX('Mug Marks'!$A$5:$A$204,MATCH(B341,'Mug Marks'!$B$5:$B$204,0)),"(not on Mug Marks)"))</f>
        <v/>
      </c>
      <c r="D341" s="6"/>
      <c r="E341" s="4"/>
      <c r="F341" s="4"/>
      <c r="G341" s="8" t="str">
        <f aca="false">IF(A341="","",A341+Settings!$B$6/24)</f>
        <v/>
      </c>
    </row>
    <row r="342" customFormat="false" ht="15" hidden="false" customHeight="false" outlineLevel="0" collapsed="false">
      <c r="A342" s="14"/>
      <c r="B342" s="5"/>
      <c r="C342" s="15" t="str">
        <f aca="false">IF(B342="","",IFERROR(INDEX('Mug Marks'!$A$5:$A$204,MATCH(B342,'Mug Marks'!$B$5:$B$204,0)),"(not on Mug Marks)"))</f>
        <v/>
      </c>
      <c r="D342" s="6"/>
      <c r="E342" s="4"/>
      <c r="F342" s="4"/>
      <c r="G342" s="8" t="str">
        <f aca="false">IF(A342="","",A342+Settings!$B$6/24)</f>
        <v/>
      </c>
    </row>
    <row r="343" customFormat="false" ht="15" hidden="false" customHeight="false" outlineLevel="0" collapsed="false">
      <c r="A343" s="14"/>
      <c r="B343" s="5"/>
      <c r="C343" s="15" t="str">
        <f aca="false">IF(B343="","",IFERROR(INDEX('Mug Marks'!$A$5:$A$204,MATCH(B343,'Mug Marks'!$B$5:$B$204,0)),"(not on Mug Marks)"))</f>
        <v/>
      </c>
      <c r="D343" s="6"/>
      <c r="E343" s="4"/>
      <c r="F343" s="4"/>
      <c r="G343" s="8" t="str">
        <f aca="false">IF(A343="","",A343+Settings!$B$6/24)</f>
        <v/>
      </c>
    </row>
    <row r="344" customFormat="false" ht="15" hidden="false" customHeight="false" outlineLevel="0" collapsed="false">
      <c r="A344" s="14"/>
      <c r="B344" s="5"/>
      <c r="C344" s="15" t="str">
        <f aca="false">IF(B344="","",IFERROR(INDEX('Mug Marks'!$A$5:$A$204,MATCH(B344,'Mug Marks'!$B$5:$B$204,0)),"(not on Mug Marks)"))</f>
        <v/>
      </c>
      <c r="D344" s="6"/>
      <c r="E344" s="4"/>
      <c r="F344" s="4"/>
      <c r="G344" s="8" t="str">
        <f aca="false">IF(A344="","",A344+Settings!$B$6/24)</f>
        <v/>
      </c>
    </row>
    <row r="345" customFormat="false" ht="15" hidden="false" customHeight="false" outlineLevel="0" collapsed="false">
      <c r="A345" s="14"/>
      <c r="B345" s="5"/>
      <c r="C345" s="15" t="str">
        <f aca="false">IF(B345="","",IFERROR(INDEX('Mug Marks'!$A$5:$A$204,MATCH(B345,'Mug Marks'!$B$5:$B$204,0)),"(not on Mug Marks)"))</f>
        <v/>
      </c>
      <c r="D345" s="6"/>
      <c r="E345" s="4"/>
      <c r="F345" s="4"/>
      <c r="G345" s="8" t="str">
        <f aca="false">IF(A345="","",A345+Settings!$B$6/24)</f>
        <v/>
      </c>
    </row>
    <row r="346" customFormat="false" ht="15" hidden="false" customHeight="false" outlineLevel="0" collapsed="false">
      <c r="A346" s="14"/>
      <c r="B346" s="5"/>
      <c r="C346" s="15" t="str">
        <f aca="false">IF(B346="","",IFERROR(INDEX('Mug Marks'!$A$5:$A$204,MATCH(B346,'Mug Marks'!$B$5:$B$204,0)),"(not on Mug Marks)"))</f>
        <v/>
      </c>
      <c r="D346" s="6"/>
      <c r="E346" s="4"/>
      <c r="F346" s="4"/>
      <c r="G346" s="8" t="str">
        <f aca="false">IF(A346="","",A346+Settings!$B$6/24)</f>
        <v/>
      </c>
    </row>
    <row r="347" customFormat="false" ht="15" hidden="false" customHeight="false" outlineLevel="0" collapsed="false">
      <c r="A347" s="14"/>
      <c r="B347" s="5"/>
      <c r="C347" s="15" t="str">
        <f aca="false">IF(B347="","",IFERROR(INDEX('Mug Marks'!$A$5:$A$204,MATCH(B347,'Mug Marks'!$B$5:$B$204,0)),"(not on Mug Marks)"))</f>
        <v/>
      </c>
      <c r="D347" s="6"/>
      <c r="E347" s="4"/>
      <c r="F347" s="4"/>
      <c r="G347" s="8" t="str">
        <f aca="false">IF(A347="","",A347+Settings!$B$6/24)</f>
        <v/>
      </c>
    </row>
    <row r="348" customFormat="false" ht="15" hidden="false" customHeight="false" outlineLevel="0" collapsed="false">
      <c r="A348" s="14"/>
      <c r="B348" s="5"/>
      <c r="C348" s="15" t="str">
        <f aca="false">IF(B348="","",IFERROR(INDEX('Mug Marks'!$A$5:$A$204,MATCH(B348,'Mug Marks'!$B$5:$B$204,0)),"(not on Mug Marks)"))</f>
        <v/>
      </c>
      <c r="D348" s="6"/>
      <c r="E348" s="4"/>
      <c r="F348" s="4"/>
      <c r="G348" s="8" t="str">
        <f aca="false">IF(A348="","",A348+Settings!$B$6/24)</f>
        <v/>
      </c>
    </row>
    <row r="349" customFormat="false" ht="15" hidden="false" customHeight="false" outlineLevel="0" collapsed="false">
      <c r="A349" s="14"/>
      <c r="B349" s="5"/>
      <c r="C349" s="15" t="str">
        <f aca="false">IF(B349="","",IFERROR(INDEX('Mug Marks'!$A$5:$A$204,MATCH(B349,'Mug Marks'!$B$5:$B$204,0)),"(not on Mug Marks)"))</f>
        <v/>
      </c>
      <c r="D349" s="6"/>
      <c r="E349" s="4"/>
      <c r="F349" s="4"/>
      <c r="G349" s="8" t="str">
        <f aca="false">IF(A349="","",A349+Settings!$B$6/24)</f>
        <v/>
      </c>
    </row>
    <row r="350" customFormat="false" ht="15" hidden="false" customHeight="false" outlineLevel="0" collapsed="false">
      <c r="A350" s="14"/>
      <c r="B350" s="5"/>
      <c r="C350" s="15" t="str">
        <f aca="false">IF(B350="","",IFERROR(INDEX('Mug Marks'!$A$5:$A$204,MATCH(B350,'Mug Marks'!$B$5:$B$204,0)),"(not on Mug Marks)"))</f>
        <v/>
      </c>
      <c r="D350" s="6"/>
      <c r="E350" s="4"/>
      <c r="F350" s="4"/>
      <c r="G350" s="8" t="str">
        <f aca="false">IF(A350="","",A350+Settings!$B$6/24)</f>
        <v/>
      </c>
    </row>
    <row r="351" customFormat="false" ht="15" hidden="false" customHeight="false" outlineLevel="0" collapsed="false">
      <c r="A351" s="14"/>
      <c r="B351" s="5"/>
      <c r="C351" s="15" t="str">
        <f aca="false">IF(B351="","",IFERROR(INDEX('Mug Marks'!$A$5:$A$204,MATCH(B351,'Mug Marks'!$B$5:$B$204,0)),"(not on Mug Marks)"))</f>
        <v/>
      </c>
      <c r="D351" s="6"/>
      <c r="E351" s="4"/>
      <c r="F351" s="4"/>
      <c r="G351" s="8" t="str">
        <f aca="false">IF(A351="","",A351+Settings!$B$6/24)</f>
        <v/>
      </c>
    </row>
    <row r="352" customFormat="false" ht="15" hidden="false" customHeight="false" outlineLevel="0" collapsed="false">
      <c r="A352" s="14"/>
      <c r="B352" s="5"/>
      <c r="C352" s="15" t="str">
        <f aca="false">IF(B352="","",IFERROR(INDEX('Mug Marks'!$A$5:$A$204,MATCH(B352,'Mug Marks'!$B$5:$B$204,0)),"(not on Mug Marks)"))</f>
        <v/>
      </c>
      <c r="D352" s="6"/>
      <c r="E352" s="4"/>
      <c r="F352" s="4"/>
      <c r="G352" s="8" t="str">
        <f aca="false">IF(A352="","",A352+Settings!$B$6/24)</f>
        <v/>
      </c>
    </row>
    <row r="353" customFormat="false" ht="15" hidden="false" customHeight="false" outlineLevel="0" collapsed="false">
      <c r="A353" s="14"/>
      <c r="B353" s="5"/>
      <c r="C353" s="15" t="str">
        <f aca="false">IF(B353="","",IFERROR(INDEX('Mug Marks'!$A$5:$A$204,MATCH(B353,'Mug Marks'!$B$5:$B$204,0)),"(not on Mug Marks)"))</f>
        <v/>
      </c>
      <c r="D353" s="6"/>
      <c r="E353" s="4"/>
      <c r="F353" s="4"/>
      <c r="G353" s="8" t="str">
        <f aca="false">IF(A353="","",A353+Settings!$B$6/24)</f>
        <v/>
      </c>
    </row>
    <row r="354" customFormat="false" ht="15" hidden="false" customHeight="false" outlineLevel="0" collapsed="false">
      <c r="A354" s="14"/>
      <c r="B354" s="5"/>
      <c r="C354" s="15" t="str">
        <f aca="false">IF(B354="","",IFERROR(INDEX('Mug Marks'!$A$5:$A$204,MATCH(B354,'Mug Marks'!$B$5:$B$204,0)),"(not on Mug Marks)"))</f>
        <v/>
      </c>
      <c r="D354" s="6"/>
      <c r="E354" s="4"/>
      <c r="F354" s="4"/>
      <c r="G354" s="8" t="str">
        <f aca="false">IF(A354="","",A354+Settings!$B$6/24)</f>
        <v/>
      </c>
    </row>
    <row r="355" customFormat="false" ht="15" hidden="false" customHeight="false" outlineLevel="0" collapsed="false">
      <c r="A355" s="14"/>
      <c r="B355" s="5"/>
      <c r="C355" s="15" t="str">
        <f aca="false">IF(B355="","",IFERROR(INDEX('Mug Marks'!$A$5:$A$204,MATCH(B355,'Mug Marks'!$B$5:$B$204,0)),"(not on Mug Marks)"))</f>
        <v/>
      </c>
      <c r="D355" s="6"/>
      <c r="E355" s="4"/>
      <c r="F355" s="4"/>
      <c r="G355" s="8" t="str">
        <f aca="false">IF(A355="","",A355+Settings!$B$6/24)</f>
        <v/>
      </c>
    </row>
    <row r="356" customFormat="false" ht="15" hidden="false" customHeight="false" outlineLevel="0" collapsed="false">
      <c r="A356" s="14"/>
      <c r="B356" s="5"/>
      <c r="C356" s="15" t="str">
        <f aca="false">IF(B356="","",IFERROR(INDEX('Mug Marks'!$A$5:$A$204,MATCH(B356,'Mug Marks'!$B$5:$B$204,0)),"(not on Mug Marks)"))</f>
        <v/>
      </c>
      <c r="D356" s="6"/>
      <c r="E356" s="4"/>
      <c r="F356" s="4"/>
      <c r="G356" s="8" t="str">
        <f aca="false">IF(A356="","",A356+Settings!$B$6/24)</f>
        <v/>
      </c>
    </row>
    <row r="357" customFormat="false" ht="15" hidden="false" customHeight="false" outlineLevel="0" collapsed="false">
      <c r="A357" s="14"/>
      <c r="B357" s="5"/>
      <c r="C357" s="15" t="str">
        <f aca="false">IF(B357="","",IFERROR(INDEX('Mug Marks'!$A$5:$A$204,MATCH(B357,'Mug Marks'!$B$5:$B$204,0)),"(not on Mug Marks)"))</f>
        <v/>
      </c>
      <c r="D357" s="6"/>
      <c r="E357" s="4"/>
      <c r="F357" s="4"/>
      <c r="G357" s="8" t="str">
        <f aca="false">IF(A357="","",A357+Settings!$B$6/24)</f>
        <v/>
      </c>
    </row>
    <row r="358" customFormat="false" ht="15" hidden="false" customHeight="false" outlineLevel="0" collapsed="false">
      <c r="A358" s="14"/>
      <c r="B358" s="5"/>
      <c r="C358" s="15" t="str">
        <f aca="false">IF(B358="","",IFERROR(INDEX('Mug Marks'!$A$5:$A$204,MATCH(B358,'Mug Marks'!$B$5:$B$204,0)),"(not on Mug Marks)"))</f>
        <v/>
      </c>
      <c r="D358" s="6"/>
      <c r="E358" s="4"/>
      <c r="F358" s="4"/>
      <c r="G358" s="8" t="str">
        <f aca="false">IF(A358="","",A358+Settings!$B$6/24)</f>
        <v/>
      </c>
    </row>
    <row r="359" customFormat="false" ht="15" hidden="false" customHeight="false" outlineLevel="0" collapsed="false">
      <c r="A359" s="14"/>
      <c r="B359" s="5"/>
      <c r="C359" s="15" t="str">
        <f aca="false">IF(B359="","",IFERROR(INDEX('Mug Marks'!$A$5:$A$204,MATCH(B359,'Mug Marks'!$B$5:$B$204,0)),"(not on Mug Marks)"))</f>
        <v/>
      </c>
      <c r="D359" s="6"/>
      <c r="E359" s="4"/>
      <c r="F359" s="4"/>
      <c r="G359" s="8" t="str">
        <f aca="false">IF(A359="","",A359+Settings!$B$6/24)</f>
        <v/>
      </c>
    </row>
    <row r="360" customFormat="false" ht="15" hidden="false" customHeight="false" outlineLevel="0" collapsed="false">
      <c r="A360" s="14"/>
      <c r="B360" s="5"/>
      <c r="C360" s="15" t="str">
        <f aca="false">IF(B360="","",IFERROR(INDEX('Mug Marks'!$A$5:$A$204,MATCH(B360,'Mug Marks'!$B$5:$B$204,0)),"(not on Mug Marks)"))</f>
        <v/>
      </c>
      <c r="D360" s="6"/>
      <c r="E360" s="4"/>
      <c r="F360" s="4"/>
      <c r="G360" s="8" t="str">
        <f aca="false">IF(A360="","",A360+Settings!$B$6/24)</f>
        <v/>
      </c>
    </row>
    <row r="361" customFormat="false" ht="15" hidden="false" customHeight="false" outlineLevel="0" collapsed="false">
      <c r="A361" s="14"/>
      <c r="B361" s="5"/>
      <c r="C361" s="15" t="str">
        <f aca="false">IF(B361="","",IFERROR(INDEX('Mug Marks'!$A$5:$A$204,MATCH(B361,'Mug Marks'!$B$5:$B$204,0)),"(not on Mug Marks)"))</f>
        <v/>
      </c>
      <c r="D361" s="6"/>
      <c r="E361" s="4"/>
      <c r="F361" s="4"/>
      <c r="G361" s="8" t="str">
        <f aca="false">IF(A361="","",A361+Settings!$B$6/24)</f>
        <v/>
      </c>
    </row>
    <row r="362" customFormat="false" ht="15" hidden="false" customHeight="false" outlineLevel="0" collapsed="false">
      <c r="A362" s="14"/>
      <c r="B362" s="5"/>
      <c r="C362" s="15" t="str">
        <f aca="false">IF(B362="","",IFERROR(INDEX('Mug Marks'!$A$5:$A$204,MATCH(B362,'Mug Marks'!$B$5:$B$204,0)),"(not on Mug Marks)"))</f>
        <v/>
      </c>
      <c r="D362" s="6"/>
      <c r="E362" s="4"/>
      <c r="F362" s="4"/>
      <c r="G362" s="8" t="str">
        <f aca="false">IF(A362="","",A362+Settings!$B$6/24)</f>
        <v/>
      </c>
    </row>
    <row r="363" customFormat="false" ht="15" hidden="false" customHeight="false" outlineLevel="0" collapsed="false">
      <c r="A363" s="14"/>
      <c r="B363" s="5"/>
      <c r="C363" s="15" t="str">
        <f aca="false">IF(B363="","",IFERROR(INDEX('Mug Marks'!$A$5:$A$204,MATCH(B363,'Mug Marks'!$B$5:$B$204,0)),"(not on Mug Marks)"))</f>
        <v/>
      </c>
      <c r="D363" s="6"/>
      <c r="E363" s="4"/>
      <c r="F363" s="4"/>
      <c r="G363" s="8" t="str">
        <f aca="false">IF(A363="","",A363+Settings!$B$6/24)</f>
        <v/>
      </c>
    </row>
    <row r="364" customFormat="false" ht="15" hidden="false" customHeight="false" outlineLevel="0" collapsed="false">
      <c r="A364" s="14"/>
      <c r="B364" s="5"/>
      <c r="C364" s="15" t="str">
        <f aca="false">IF(B364="","",IFERROR(INDEX('Mug Marks'!$A$5:$A$204,MATCH(B364,'Mug Marks'!$B$5:$B$204,0)),"(not on Mug Marks)"))</f>
        <v/>
      </c>
      <c r="D364" s="6"/>
      <c r="E364" s="4"/>
      <c r="F364" s="4"/>
      <c r="G364" s="8" t="str">
        <f aca="false">IF(A364="","",A364+Settings!$B$6/24)</f>
        <v/>
      </c>
    </row>
    <row r="365" customFormat="false" ht="15" hidden="false" customHeight="false" outlineLevel="0" collapsed="false">
      <c r="A365" s="14"/>
      <c r="B365" s="5"/>
      <c r="C365" s="15" t="str">
        <f aca="false">IF(B365="","",IFERROR(INDEX('Mug Marks'!$A$5:$A$204,MATCH(B365,'Mug Marks'!$B$5:$B$204,0)),"(not on Mug Marks)"))</f>
        <v/>
      </c>
      <c r="D365" s="6"/>
      <c r="E365" s="4"/>
      <c r="F365" s="4"/>
      <c r="G365" s="8" t="str">
        <f aca="false">IF(A365="","",A365+Settings!$B$6/24)</f>
        <v/>
      </c>
    </row>
    <row r="366" customFormat="false" ht="15" hidden="false" customHeight="false" outlineLevel="0" collapsed="false">
      <c r="A366" s="14"/>
      <c r="B366" s="5"/>
      <c r="C366" s="15" t="str">
        <f aca="false">IF(B366="","",IFERROR(INDEX('Mug Marks'!$A$5:$A$204,MATCH(B366,'Mug Marks'!$B$5:$B$204,0)),"(not on Mug Marks)"))</f>
        <v/>
      </c>
      <c r="D366" s="6"/>
      <c r="E366" s="4"/>
      <c r="F366" s="4"/>
      <c r="G366" s="8" t="str">
        <f aca="false">IF(A366="","",A366+Settings!$B$6/24)</f>
        <v/>
      </c>
    </row>
    <row r="367" customFormat="false" ht="15" hidden="false" customHeight="false" outlineLevel="0" collapsed="false">
      <c r="A367" s="14"/>
      <c r="B367" s="5"/>
      <c r="C367" s="15" t="str">
        <f aca="false">IF(B367="","",IFERROR(INDEX('Mug Marks'!$A$5:$A$204,MATCH(B367,'Mug Marks'!$B$5:$B$204,0)),"(not on Mug Marks)"))</f>
        <v/>
      </c>
      <c r="D367" s="6"/>
      <c r="E367" s="4"/>
      <c r="F367" s="4"/>
      <c r="G367" s="8" t="str">
        <f aca="false">IF(A367="","",A367+Settings!$B$6/24)</f>
        <v/>
      </c>
    </row>
    <row r="368" customFormat="false" ht="15" hidden="false" customHeight="false" outlineLevel="0" collapsed="false">
      <c r="A368" s="14"/>
      <c r="B368" s="5"/>
      <c r="C368" s="15" t="str">
        <f aca="false">IF(B368="","",IFERROR(INDEX('Mug Marks'!$A$5:$A$204,MATCH(B368,'Mug Marks'!$B$5:$B$204,0)),"(not on Mug Marks)"))</f>
        <v/>
      </c>
      <c r="D368" s="6"/>
      <c r="E368" s="4"/>
      <c r="F368" s="4"/>
      <c r="G368" s="8" t="str">
        <f aca="false">IF(A368="","",A368+Settings!$B$6/24)</f>
        <v/>
      </c>
    </row>
    <row r="369" customFormat="false" ht="15" hidden="false" customHeight="false" outlineLevel="0" collapsed="false">
      <c r="A369" s="14"/>
      <c r="B369" s="5"/>
      <c r="C369" s="15" t="str">
        <f aca="false">IF(B369="","",IFERROR(INDEX('Mug Marks'!$A$5:$A$204,MATCH(B369,'Mug Marks'!$B$5:$B$204,0)),"(not on Mug Marks)"))</f>
        <v/>
      </c>
      <c r="D369" s="6"/>
      <c r="E369" s="4"/>
      <c r="F369" s="4"/>
      <c r="G369" s="8" t="str">
        <f aca="false">IF(A369="","",A369+Settings!$B$6/24)</f>
        <v/>
      </c>
    </row>
    <row r="370" customFormat="false" ht="15" hidden="false" customHeight="false" outlineLevel="0" collapsed="false">
      <c r="A370" s="14"/>
      <c r="B370" s="5"/>
      <c r="C370" s="15" t="str">
        <f aca="false">IF(B370="","",IFERROR(INDEX('Mug Marks'!$A$5:$A$204,MATCH(B370,'Mug Marks'!$B$5:$B$204,0)),"(not on Mug Marks)"))</f>
        <v/>
      </c>
      <c r="D370" s="6"/>
      <c r="E370" s="4"/>
      <c r="F370" s="4"/>
      <c r="G370" s="8" t="str">
        <f aca="false">IF(A370="","",A370+Settings!$B$6/24)</f>
        <v/>
      </c>
    </row>
    <row r="371" customFormat="false" ht="15" hidden="false" customHeight="false" outlineLevel="0" collapsed="false">
      <c r="A371" s="14"/>
      <c r="B371" s="5"/>
      <c r="C371" s="15" t="str">
        <f aca="false">IF(B371="","",IFERROR(INDEX('Mug Marks'!$A$5:$A$204,MATCH(B371,'Mug Marks'!$B$5:$B$204,0)),"(not on Mug Marks)"))</f>
        <v/>
      </c>
      <c r="D371" s="6"/>
      <c r="E371" s="4"/>
      <c r="F371" s="4"/>
      <c r="G371" s="8" t="str">
        <f aca="false">IF(A371="","",A371+Settings!$B$6/24)</f>
        <v/>
      </c>
    </row>
    <row r="372" customFormat="false" ht="15" hidden="false" customHeight="false" outlineLevel="0" collapsed="false">
      <c r="A372" s="14"/>
      <c r="B372" s="5"/>
      <c r="C372" s="15" t="str">
        <f aca="false">IF(B372="","",IFERROR(INDEX('Mug Marks'!$A$5:$A$204,MATCH(B372,'Mug Marks'!$B$5:$B$204,0)),"(not on Mug Marks)"))</f>
        <v/>
      </c>
      <c r="D372" s="6"/>
      <c r="E372" s="4"/>
      <c r="F372" s="4"/>
      <c r="G372" s="8" t="str">
        <f aca="false">IF(A372="","",A372+Settings!$B$6/24)</f>
        <v/>
      </c>
    </row>
    <row r="373" customFormat="false" ht="15" hidden="false" customHeight="false" outlineLevel="0" collapsed="false">
      <c r="A373" s="14"/>
      <c r="B373" s="5"/>
      <c r="C373" s="15" t="str">
        <f aca="false">IF(B373="","",IFERROR(INDEX('Mug Marks'!$A$5:$A$204,MATCH(B373,'Mug Marks'!$B$5:$B$204,0)),"(not on Mug Marks)"))</f>
        <v/>
      </c>
      <c r="D373" s="6"/>
      <c r="E373" s="4"/>
      <c r="F373" s="4"/>
      <c r="G373" s="8" t="str">
        <f aca="false">IF(A373="","",A373+Settings!$B$6/24)</f>
        <v/>
      </c>
    </row>
    <row r="374" customFormat="false" ht="15" hidden="false" customHeight="false" outlineLevel="0" collapsed="false">
      <c r="A374" s="14"/>
      <c r="B374" s="5"/>
      <c r="C374" s="15" t="str">
        <f aca="false">IF(B374="","",IFERROR(INDEX('Mug Marks'!$A$5:$A$204,MATCH(B374,'Mug Marks'!$B$5:$B$204,0)),"(not on Mug Marks)"))</f>
        <v/>
      </c>
      <c r="D374" s="6"/>
      <c r="E374" s="4"/>
      <c r="F374" s="4"/>
      <c r="G374" s="8" t="str">
        <f aca="false">IF(A374="","",A374+Settings!$B$6/24)</f>
        <v/>
      </c>
    </row>
    <row r="375" customFormat="false" ht="15" hidden="false" customHeight="false" outlineLevel="0" collapsed="false">
      <c r="A375" s="14"/>
      <c r="B375" s="5"/>
      <c r="C375" s="15" t="str">
        <f aca="false">IF(B375="","",IFERROR(INDEX('Mug Marks'!$A$5:$A$204,MATCH(B375,'Mug Marks'!$B$5:$B$204,0)),"(not on Mug Marks)"))</f>
        <v/>
      </c>
      <c r="D375" s="6"/>
      <c r="E375" s="4"/>
      <c r="F375" s="4"/>
      <c r="G375" s="8" t="str">
        <f aca="false">IF(A375="","",A375+Settings!$B$6/24)</f>
        <v/>
      </c>
    </row>
    <row r="376" customFormat="false" ht="15" hidden="false" customHeight="false" outlineLevel="0" collapsed="false">
      <c r="A376" s="14"/>
      <c r="B376" s="5"/>
      <c r="C376" s="15" t="str">
        <f aca="false">IF(B376="","",IFERROR(INDEX('Mug Marks'!$A$5:$A$204,MATCH(B376,'Mug Marks'!$B$5:$B$204,0)),"(not on Mug Marks)"))</f>
        <v/>
      </c>
      <c r="D376" s="6"/>
      <c r="E376" s="4"/>
      <c r="F376" s="4"/>
      <c r="G376" s="8" t="str">
        <f aca="false">IF(A376="","",A376+Settings!$B$6/24)</f>
        <v/>
      </c>
    </row>
    <row r="377" customFormat="false" ht="15" hidden="false" customHeight="false" outlineLevel="0" collapsed="false">
      <c r="A377" s="14"/>
      <c r="B377" s="5"/>
      <c r="C377" s="15" t="str">
        <f aca="false">IF(B377="","",IFERROR(INDEX('Mug Marks'!$A$5:$A$204,MATCH(B377,'Mug Marks'!$B$5:$B$204,0)),"(not on Mug Marks)"))</f>
        <v/>
      </c>
      <c r="D377" s="6"/>
      <c r="E377" s="4"/>
      <c r="F377" s="4"/>
      <c r="G377" s="8" t="str">
        <f aca="false">IF(A377="","",A377+Settings!$B$6/24)</f>
        <v/>
      </c>
    </row>
    <row r="378" customFormat="false" ht="15" hidden="false" customHeight="false" outlineLevel="0" collapsed="false">
      <c r="A378" s="14"/>
      <c r="B378" s="5"/>
      <c r="C378" s="15" t="str">
        <f aca="false">IF(B378="","",IFERROR(INDEX('Mug Marks'!$A$5:$A$204,MATCH(B378,'Mug Marks'!$B$5:$B$204,0)),"(not on Mug Marks)"))</f>
        <v/>
      </c>
      <c r="D378" s="6"/>
      <c r="E378" s="4"/>
      <c r="F378" s="4"/>
      <c r="G378" s="8" t="str">
        <f aca="false">IF(A378="","",A378+Settings!$B$6/24)</f>
        <v/>
      </c>
    </row>
    <row r="379" customFormat="false" ht="15" hidden="false" customHeight="false" outlineLevel="0" collapsed="false">
      <c r="A379" s="14"/>
      <c r="B379" s="5"/>
      <c r="C379" s="15" t="str">
        <f aca="false">IF(B379="","",IFERROR(INDEX('Mug Marks'!$A$5:$A$204,MATCH(B379,'Mug Marks'!$B$5:$B$204,0)),"(not on Mug Marks)"))</f>
        <v/>
      </c>
      <c r="D379" s="6"/>
      <c r="E379" s="4"/>
      <c r="F379" s="4"/>
      <c r="G379" s="8" t="str">
        <f aca="false">IF(A379="","",A379+Settings!$B$6/24)</f>
        <v/>
      </c>
    </row>
    <row r="380" customFormat="false" ht="15" hidden="false" customHeight="false" outlineLevel="0" collapsed="false">
      <c r="A380" s="14"/>
      <c r="B380" s="5"/>
      <c r="C380" s="15" t="str">
        <f aca="false">IF(B380="","",IFERROR(INDEX('Mug Marks'!$A$5:$A$204,MATCH(B380,'Mug Marks'!$B$5:$B$204,0)),"(not on Mug Marks)"))</f>
        <v/>
      </c>
      <c r="D380" s="6"/>
      <c r="E380" s="4"/>
      <c r="F380" s="4"/>
      <c r="G380" s="8" t="str">
        <f aca="false">IF(A380="","",A380+Settings!$B$6/24)</f>
        <v/>
      </c>
    </row>
    <row r="381" customFormat="false" ht="15" hidden="false" customHeight="false" outlineLevel="0" collapsed="false">
      <c r="A381" s="14"/>
      <c r="B381" s="5"/>
      <c r="C381" s="15" t="str">
        <f aca="false">IF(B381="","",IFERROR(INDEX('Mug Marks'!$A$5:$A$204,MATCH(B381,'Mug Marks'!$B$5:$B$204,0)),"(not on Mug Marks)"))</f>
        <v/>
      </c>
      <c r="D381" s="6"/>
      <c r="E381" s="4"/>
      <c r="F381" s="4"/>
      <c r="G381" s="8" t="str">
        <f aca="false">IF(A381="","",A381+Settings!$B$6/24)</f>
        <v/>
      </c>
    </row>
    <row r="382" customFormat="false" ht="15" hidden="false" customHeight="false" outlineLevel="0" collapsed="false">
      <c r="A382" s="14"/>
      <c r="B382" s="5"/>
      <c r="C382" s="15" t="str">
        <f aca="false">IF(B382="","",IFERROR(INDEX('Mug Marks'!$A$5:$A$204,MATCH(B382,'Mug Marks'!$B$5:$B$204,0)),"(not on Mug Marks)"))</f>
        <v/>
      </c>
      <c r="D382" s="6"/>
      <c r="E382" s="4"/>
      <c r="F382" s="4"/>
      <c r="G382" s="8" t="str">
        <f aca="false">IF(A382="","",A382+Settings!$B$6/24)</f>
        <v/>
      </c>
    </row>
    <row r="383" customFormat="false" ht="15" hidden="false" customHeight="false" outlineLevel="0" collapsed="false">
      <c r="A383" s="14"/>
      <c r="B383" s="5"/>
      <c r="C383" s="15" t="str">
        <f aca="false">IF(B383="","",IFERROR(INDEX('Mug Marks'!$A$5:$A$204,MATCH(B383,'Mug Marks'!$B$5:$B$204,0)),"(not on Mug Marks)"))</f>
        <v/>
      </c>
      <c r="D383" s="6"/>
      <c r="E383" s="4"/>
      <c r="F383" s="4"/>
      <c r="G383" s="8" t="str">
        <f aca="false">IF(A383="","",A383+Settings!$B$6/24)</f>
        <v/>
      </c>
    </row>
    <row r="384" customFormat="false" ht="15" hidden="false" customHeight="false" outlineLevel="0" collapsed="false">
      <c r="A384" s="14"/>
      <c r="B384" s="5"/>
      <c r="C384" s="15" t="str">
        <f aca="false">IF(B384="","",IFERROR(INDEX('Mug Marks'!$A$5:$A$204,MATCH(B384,'Mug Marks'!$B$5:$B$204,0)),"(not on Mug Marks)"))</f>
        <v/>
      </c>
      <c r="D384" s="6"/>
      <c r="E384" s="4"/>
      <c r="F384" s="4"/>
      <c r="G384" s="8" t="str">
        <f aca="false">IF(A384="","",A384+Settings!$B$6/24)</f>
        <v/>
      </c>
    </row>
    <row r="385" customFormat="false" ht="15" hidden="false" customHeight="false" outlineLevel="0" collapsed="false">
      <c r="A385" s="14"/>
      <c r="B385" s="5"/>
      <c r="C385" s="15" t="str">
        <f aca="false">IF(B385="","",IFERROR(INDEX('Mug Marks'!$A$5:$A$204,MATCH(B385,'Mug Marks'!$B$5:$B$204,0)),"(not on Mug Marks)"))</f>
        <v/>
      </c>
      <c r="D385" s="6"/>
      <c r="E385" s="4"/>
      <c r="F385" s="4"/>
      <c r="G385" s="8" t="str">
        <f aca="false">IF(A385="","",A385+Settings!$B$6/24)</f>
        <v/>
      </c>
    </row>
    <row r="386" customFormat="false" ht="15" hidden="false" customHeight="false" outlineLevel="0" collapsed="false">
      <c r="A386" s="14"/>
      <c r="B386" s="5"/>
      <c r="C386" s="15" t="str">
        <f aca="false">IF(B386="","",IFERROR(INDEX('Mug Marks'!$A$5:$A$204,MATCH(B386,'Mug Marks'!$B$5:$B$204,0)),"(not on Mug Marks)"))</f>
        <v/>
      </c>
      <c r="D386" s="6"/>
      <c r="E386" s="4"/>
      <c r="F386" s="4"/>
      <c r="G386" s="8" t="str">
        <f aca="false">IF(A386="","",A386+Settings!$B$6/24)</f>
        <v/>
      </c>
    </row>
    <row r="387" customFormat="false" ht="15" hidden="false" customHeight="false" outlineLevel="0" collapsed="false">
      <c r="A387" s="14"/>
      <c r="B387" s="5"/>
      <c r="C387" s="15" t="str">
        <f aca="false">IF(B387="","",IFERROR(INDEX('Mug Marks'!$A$5:$A$204,MATCH(B387,'Mug Marks'!$B$5:$B$204,0)),"(not on Mug Marks)"))</f>
        <v/>
      </c>
      <c r="D387" s="6"/>
      <c r="E387" s="4"/>
      <c r="F387" s="4"/>
      <c r="G387" s="8" t="str">
        <f aca="false">IF(A387="","",A387+Settings!$B$6/24)</f>
        <v/>
      </c>
    </row>
    <row r="388" customFormat="false" ht="15" hidden="false" customHeight="false" outlineLevel="0" collapsed="false">
      <c r="A388" s="14"/>
      <c r="B388" s="5"/>
      <c r="C388" s="15" t="str">
        <f aca="false">IF(B388="","",IFERROR(INDEX('Mug Marks'!$A$5:$A$204,MATCH(B388,'Mug Marks'!$B$5:$B$204,0)),"(not on Mug Marks)"))</f>
        <v/>
      </c>
      <c r="D388" s="6"/>
      <c r="E388" s="4"/>
      <c r="F388" s="4"/>
      <c r="G388" s="8" t="str">
        <f aca="false">IF(A388="","",A388+Settings!$B$6/24)</f>
        <v/>
      </c>
    </row>
    <row r="389" customFormat="false" ht="15" hidden="false" customHeight="false" outlineLevel="0" collapsed="false">
      <c r="A389" s="14"/>
      <c r="B389" s="5"/>
      <c r="C389" s="15" t="str">
        <f aca="false">IF(B389="","",IFERROR(INDEX('Mug Marks'!$A$5:$A$204,MATCH(B389,'Mug Marks'!$B$5:$B$204,0)),"(not on Mug Marks)"))</f>
        <v/>
      </c>
      <c r="D389" s="6"/>
      <c r="E389" s="4"/>
      <c r="F389" s="4"/>
      <c r="G389" s="8" t="str">
        <f aca="false">IF(A389="","",A389+Settings!$B$6/24)</f>
        <v/>
      </c>
    </row>
    <row r="390" customFormat="false" ht="15" hidden="false" customHeight="false" outlineLevel="0" collapsed="false">
      <c r="A390" s="14"/>
      <c r="B390" s="5"/>
      <c r="C390" s="15" t="str">
        <f aca="false">IF(B390="","",IFERROR(INDEX('Mug Marks'!$A$5:$A$204,MATCH(B390,'Mug Marks'!$B$5:$B$204,0)),"(not on Mug Marks)"))</f>
        <v/>
      </c>
      <c r="D390" s="6"/>
      <c r="E390" s="4"/>
      <c r="F390" s="4"/>
      <c r="G390" s="8" t="str">
        <f aca="false">IF(A390="","",A390+Settings!$B$6/24)</f>
        <v/>
      </c>
    </row>
    <row r="391" customFormat="false" ht="15" hidden="false" customHeight="false" outlineLevel="0" collapsed="false">
      <c r="A391" s="14"/>
      <c r="B391" s="5"/>
      <c r="C391" s="15" t="str">
        <f aca="false">IF(B391="","",IFERROR(INDEX('Mug Marks'!$A$5:$A$204,MATCH(B391,'Mug Marks'!$B$5:$B$204,0)),"(not on Mug Marks)"))</f>
        <v/>
      </c>
      <c r="D391" s="6"/>
      <c r="E391" s="4"/>
      <c r="F391" s="4"/>
      <c r="G391" s="8" t="str">
        <f aca="false">IF(A391="","",A391+Settings!$B$6/24)</f>
        <v/>
      </c>
    </row>
    <row r="392" customFormat="false" ht="15" hidden="false" customHeight="false" outlineLevel="0" collapsed="false">
      <c r="A392" s="14"/>
      <c r="B392" s="5"/>
      <c r="C392" s="15" t="str">
        <f aca="false">IF(B392="","",IFERROR(INDEX('Mug Marks'!$A$5:$A$204,MATCH(B392,'Mug Marks'!$B$5:$B$204,0)),"(not on Mug Marks)"))</f>
        <v/>
      </c>
      <c r="D392" s="6"/>
      <c r="E392" s="4"/>
      <c r="F392" s="4"/>
      <c r="G392" s="8" t="str">
        <f aca="false">IF(A392="","",A392+Settings!$B$6/24)</f>
        <v/>
      </c>
    </row>
    <row r="393" customFormat="false" ht="15" hidden="false" customHeight="false" outlineLevel="0" collapsed="false">
      <c r="A393" s="14"/>
      <c r="B393" s="5"/>
      <c r="C393" s="15" t="str">
        <f aca="false">IF(B393="","",IFERROR(INDEX('Mug Marks'!$A$5:$A$204,MATCH(B393,'Mug Marks'!$B$5:$B$204,0)),"(not on Mug Marks)"))</f>
        <v/>
      </c>
      <c r="D393" s="6"/>
      <c r="E393" s="4"/>
      <c r="F393" s="4"/>
      <c r="G393" s="8" t="str">
        <f aca="false">IF(A393="","",A393+Settings!$B$6/24)</f>
        <v/>
      </c>
    </row>
    <row r="394" customFormat="false" ht="15" hidden="false" customHeight="false" outlineLevel="0" collapsed="false">
      <c r="A394" s="14"/>
      <c r="B394" s="5"/>
      <c r="C394" s="15" t="str">
        <f aca="false">IF(B394="","",IFERROR(INDEX('Mug Marks'!$A$5:$A$204,MATCH(B394,'Mug Marks'!$B$5:$B$204,0)),"(not on Mug Marks)"))</f>
        <v/>
      </c>
      <c r="D394" s="6"/>
      <c r="E394" s="4"/>
      <c r="F394" s="4"/>
      <c r="G394" s="8" t="str">
        <f aca="false">IF(A394="","",A394+Settings!$B$6/24)</f>
        <v/>
      </c>
    </row>
    <row r="395" customFormat="false" ht="15" hidden="false" customHeight="false" outlineLevel="0" collapsed="false">
      <c r="A395" s="14"/>
      <c r="B395" s="5"/>
      <c r="C395" s="15" t="str">
        <f aca="false">IF(B395="","",IFERROR(INDEX('Mug Marks'!$A$5:$A$204,MATCH(B395,'Mug Marks'!$B$5:$B$204,0)),"(not on Mug Marks)"))</f>
        <v/>
      </c>
      <c r="D395" s="6"/>
      <c r="E395" s="4"/>
      <c r="F395" s="4"/>
      <c r="G395" s="8" t="str">
        <f aca="false">IF(A395="","",A395+Settings!$B$6/24)</f>
        <v/>
      </c>
    </row>
    <row r="396" customFormat="false" ht="15" hidden="false" customHeight="false" outlineLevel="0" collapsed="false">
      <c r="A396" s="14"/>
      <c r="B396" s="5"/>
      <c r="C396" s="15" t="str">
        <f aca="false">IF(B396="","",IFERROR(INDEX('Mug Marks'!$A$5:$A$204,MATCH(B396,'Mug Marks'!$B$5:$B$204,0)),"(not on Mug Marks)"))</f>
        <v/>
      </c>
      <c r="D396" s="6"/>
      <c r="E396" s="4"/>
      <c r="F396" s="4"/>
      <c r="G396" s="8" t="str">
        <f aca="false">IF(A396="","",A396+Settings!$B$6/24)</f>
        <v/>
      </c>
    </row>
    <row r="397" customFormat="false" ht="15" hidden="false" customHeight="false" outlineLevel="0" collapsed="false">
      <c r="A397" s="14"/>
      <c r="B397" s="5"/>
      <c r="C397" s="15" t="str">
        <f aca="false">IF(B397="","",IFERROR(INDEX('Mug Marks'!$A$5:$A$204,MATCH(B397,'Mug Marks'!$B$5:$B$204,0)),"(not on Mug Marks)"))</f>
        <v/>
      </c>
      <c r="D397" s="6"/>
      <c r="E397" s="4"/>
      <c r="F397" s="4"/>
      <c r="G397" s="8" t="str">
        <f aca="false">IF(A397="","",A397+Settings!$B$6/24)</f>
        <v/>
      </c>
    </row>
    <row r="398" customFormat="false" ht="15" hidden="false" customHeight="false" outlineLevel="0" collapsed="false">
      <c r="A398" s="14"/>
      <c r="B398" s="5"/>
      <c r="C398" s="15" t="str">
        <f aca="false">IF(B398="","",IFERROR(INDEX('Mug Marks'!$A$5:$A$204,MATCH(B398,'Mug Marks'!$B$5:$B$204,0)),"(not on Mug Marks)"))</f>
        <v/>
      </c>
      <c r="D398" s="6"/>
      <c r="E398" s="4"/>
      <c r="F398" s="4"/>
      <c r="G398" s="8" t="str">
        <f aca="false">IF(A398="","",A398+Settings!$B$6/24)</f>
        <v/>
      </c>
    </row>
    <row r="399" customFormat="false" ht="15" hidden="false" customHeight="false" outlineLevel="0" collapsed="false">
      <c r="A399" s="14"/>
      <c r="B399" s="5"/>
      <c r="C399" s="15" t="str">
        <f aca="false">IF(B399="","",IFERROR(INDEX('Mug Marks'!$A$5:$A$204,MATCH(B399,'Mug Marks'!$B$5:$B$204,0)),"(not on Mug Marks)"))</f>
        <v/>
      </c>
      <c r="D399" s="6"/>
      <c r="E399" s="4"/>
      <c r="F399" s="4"/>
      <c r="G399" s="8" t="str">
        <f aca="false">IF(A399="","",A399+Settings!$B$6/24)</f>
        <v/>
      </c>
    </row>
    <row r="400" customFormat="false" ht="15" hidden="false" customHeight="false" outlineLevel="0" collapsed="false">
      <c r="A400" s="14"/>
      <c r="B400" s="5"/>
      <c r="C400" s="15" t="str">
        <f aca="false">IF(B400="","",IFERROR(INDEX('Mug Marks'!$A$5:$A$204,MATCH(B400,'Mug Marks'!$B$5:$B$204,0)),"(not on Mug Marks)"))</f>
        <v/>
      </c>
      <c r="D400" s="6"/>
      <c r="E400" s="4"/>
      <c r="F400" s="4"/>
      <c r="G400" s="8" t="str">
        <f aca="false">IF(A400="","",A400+Settings!$B$6/24)</f>
        <v/>
      </c>
    </row>
    <row r="401" customFormat="false" ht="15" hidden="false" customHeight="false" outlineLevel="0" collapsed="false">
      <c r="A401" s="14"/>
      <c r="B401" s="5"/>
      <c r="C401" s="15" t="str">
        <f aca="false">IF(B401="","",IFERROR(INDEX('Mug Marks'!$A$5:$A$204,MATCH(B401,'Mug Marks'!$B$5:$B$204,0)),"(not on Mug Marks)"))</f>
        <v/>
      </c>
      <c r="D401" s="6"/>
      <c r="E401" s="4"/>
      <c r="F401" s="4"/>
      <c r="G401" s="8" t="str">
        <f aca="false">IF(A401="","",A401+Settings!$B$6/24)</f>
        <v/>
      </c>
    </row>
    <row r="402" customFormat="false" ht="15" hidden="false" customHeight="false" outlineLevel="0" collapsed="false">
      <c r="A402" s="14"/>
      <c r="B402" s="5"/>
      <c r="C402" s="15" t="str">
        <f aca="false">IF(B402="","",IFERROR(INDEX('Mug Marks'!$A$5:$A$204,MATCH(B402,'Mug Marks'!$B$5:$B$204,0)),"(not on Mug Marks)"))</f>
        <v/>
      </c>
      <c r="D402" s="6"/>
      <c r="E402" s="4"/>
      <c r="F402" s="4"/>
      <c r="G402" s="8" t="str">
        <f aca="false">IF(A402="","",A402+Settings!$B$6/24)</f>
        <v/>
      </c>
    </row>
    <row r="403" customFormat="false" ht="15" hidden="false" customHeight="false" outlineLevel="0" collapsed="false">
      <c r="A403" s="14"/>
      <c r="B403" s="5"/>
      <c r="C403" s="15" t="str">
        <f aca="false">IF(B403="","",IFERROR(INDEX('Mug Marks'!$A$5:$A$204,MATCH(B403,'Mug Marks'!$B$5:$B$204,0)),"(not on Mug Marks)"))</f>
        <v/>
      </c>
      <c r="D403" s="6"/>
      <c r="E403" s="4"/>
      <c r="F403" s="4"/>
      <c r="G403" s="8" t="str">
        <f aca="false">IF(A403="","",A403+Settings!$B$6/24)</f>
        <v/>
      </c>
    </row>
    <row r="404" customFormat="false" ht="15" hidden="false" customHeight="false" outlineLevel="0" collapsed="false">
      <c r="A404" s="14"/>
      <c r="B404" s="5"/>
      <c r="C404" s="15" t="str">
        <f aca="false">IF(B404="","",IFERROR(INDEX('Mug Marks'!$A$5:$A$204,MATCH(B404,'Mug Marks'!$B$5:$B$204,0)),"(not on Mug Marks)"))</f>
        <v/>
      </c>
      <c r="D404" s="6"/>
      <c r="E404" s="4"/>
      <c r="F404" s="4"/>
      <c r="G404" s="8" t="str">
        <f aca="false">IF(A404="","",A404+Settings!$B$6/24)</f>
        <v/>
      </c>
    </row>
    <row r="405" customFormat="false" ht="15" hidden="false" customHeight="false" outlineLevel="0" collapsed="false">
      <c r="A405" s="14"/>
      <c r="B405" s="5"/>
      <c r="C405" s="15" t="str">
        <f aca="false">IF(B405="","",IFERROR(INDEX('Mug Marks'!$A$5:$A$204,MATCH(B405,'Mug Marks'!$B$5:$B$204,0)),"(not on Mug Marks)"))</f>
        <v/>
      </c>
      <c r="D405" s="6"/>
      <c r="E405" s="4"/>
      <c r="F405" s="4"/>
      <c r="G405" s="8" t="str">
        <f aca="false">IF(A405="","",A405+Settings!$B$6/24)</f>
        <v/>
      </c>
    </row>
    <row r="406" customFormat="false" ht="15" hidden="false" customHeight="false" outlineLevel="0" collapsed="false">
      <c r="A406" s="14"/>
      <c r="B406" s="5"/>
      <c r="C406" s="15" t="str">
        <f aca="false">IF(B406="","",IFERROR(INDEX('Mug Marks'!$A$5:$A$204,MATCH(B406,'Mug Marks'!$B$5:$B$204,0)),"(not on Mug Marks)"))</f>
        <v/>
      </c>
      <c r="D406" s="6"/>
      <c r="E406" s="4"/>
      <c r="F406" s="4"/>
      <c r="G406" s="8" t="str">
        <f aca="false">IF(A406="","",A406+Settings!$B$6/24)</f>
        <v/>
      </c>
    </row>
    <row r="407" customFormat="false" ht="15" hidden="false" customHeight="false" outlineLevel="0" collapsed="false">
      <c r="A407" s="14"/>
      <c r="B407" s="5"/>
      <c r="C407" s="15" t="str">
        <f aca="false">IF(B407="","",IFERROR(INDEX('Mug Marks'!$A$5:$A$204,MATCH(B407,'Mug Marks'!$B$5:$B$204,0)),"(not on Mug Marks)"))</f>
        <v/>
      </c>
      <c r="D407" s="6"/>
      <c r="E407" s="4"/>
      <c r="F407" s="4"/>
      <c r="G407" s="8" t="str">
        <f aca="false">IF(A407="","",A407+Settings!$B$6/24)</f>
        <v/>
      </c>
    </row>
    <row r="408" customFormat="false" ht="15" hidden="false" customHeight="false" outlineLevel="0" collapsed="false">
      <c r="A408" s="14"/>
      <c r="B408" s="5"/>
      <c r="C408" s="15" t="str">
        <f aca="false">IF(B408="","",IFERROR(INDEX('Mug Marks'!$A$5:$A$204,MATCH(B408,'Mug Marks'!$B$5:$B$204,0)),"(not on Mug Marks)"))</f>
        <v/>
      </c>
      <c r="D408" s="6"/>
      <c r="E408" s="4"/>
      <c r="F408" s="4"/>
      <c r="G408" s="8" t="str">
        <f aca="false">IF(A408="","",A408+Settings!$B$6/24)</f>
        <v/>
      </c>
    </row>
    <row r="409" customFormat="false" ht="15" hidden="false" customHeight="false" outlineLevel="0" collapsed="false">
      <c r="A409" s="14"/>
      <c r="B409" s="5"/>
      <c r="C409" s="15" t="str">
        <f aca="false">IF(B409="","",IFERROR(INDEX('Mug Marks'!$A$5:$A$204,MATCH(B409,'Mug Marks'!$B$5:$B$204,0)),"(not on Mug Marks)"))</f>
        <v/>
      </c>
      <c r="D409" s="6"/>
      <c r="E409" s="4"/>
      <c r="F409" s="4"/>
      <c r="G409" s="8" t="str">
        <f aca="false">IF(A409="","",A409+Settings!$B$6/24)</f>
        <v/>
      </c>
    </row>
    <row r="410" customFormat="false" ht="15" hidden="false" customHeight="false" outlineLevel="0" collapsed="false">
      <c r="A410" s="14"/>
      <c r="B410" s="5"/>
      <c r="C410" s="15" t="str">
        <f aca="false">IF(B410="","",IFERROR(INDEX('Mug Marks'!$A$5:$A$204,MATCH(B410,'Mug Marks'!$B$5:$B$204,0)),"(not on Mug Marks)"))</f>
        <v/>
      </c>
      <c r="D410" s="6"/>
      <c r="E410" s="4"/>
      <c r="F410" s="4"/>
      <c r="G410" s="8" t="str">
        <f aca="false">IF(A410="","",A410+Settings!$B$6/24)</f>
        <v/>
      </c>
    </row>
    <row r="411" customFormat="false" ht="15" hidden="false" customHeight="false" outlineLevel="0" collapsed="false">
      <c r="A411" s="14"/>
      <c r="B411" s="5"/>
      <c r="C411" s="15" t="str">
        <f aca="false">IF(B411="","",IFERROR(INDEX('Mug Marks'!$A$5:$A$204,MATCH(B411,'Mug Marks'!$B$5:$B$204,0)),"(not on Mug Marks)"))</f>
        <v/>
      </c>
      <c r="D411" s="6"/>
      <c r="E411" s="4"/>
      <c r="F411" s="4"/>
      <c r="G411" s="8" t="str">
        <f aca="false">IF(A411="","",A411+Settings!$B$6/24)</f>
        <v/>
      </c>
    </row>
    <row r="412" customFormat="false" ht="15" hidden="false" customHeight="false" outlineLevel="0" collapsed="false">
      <c r="A412" s="14"/>
      <c r="B412" s="5"/>
      <c r="C412" s="15" t="str">
        <f aca="false">IF(B412="","",IFERROR(INDEX('Mug Marks'!$A$5:$A$204,MATCH(B412,'Mug Marks'!$B$5:$B$204,0)),"(not on Mug Marks)"))</f>
        <v/>
      </c>
      <c r="D412" s="6"/>
      <c r="E412" s="4"/>
      <c r="F412" s="4"/>
      <c r="G412" s="8" t="str">
        <f aca="false">IF(A412="","",A412+Settings!$B$6/24)</f>
        <v/>
      </c>
    </row>
    <row r="413" customFormat="false" ht="15" hidden="false" customHeight="false" outlineLevel="0" collapsed="false">
      <c r="A413" s="14"/>
      <c r="B413" s="5"/>
      <c r="C413" s="15" t="str">
        <f aca="false">IF(B413="","",IFERROR(INDEX('Mug Marks'!$A$5:$A$204,MATCH(B413,'Mug Marks'!$B$5:$B$204,0)),"(not on Mug Marks)"))</f>
        <v/>
      </c>
      <c r="D413" s="6"/>
      <c r="E413" s="4"/>
      <c r="F413" s="4"/>
      <c r="G413" s="8" t="str">
        <f aca="false">IF(A413="","",A413+Settings!$B$6/24)</f>
        <v/>
      </c>
    </row>
    <row r="414" customFormat="false" ht="15" hidden="false" customHeight="false" outlineLevel="0" collapsed="false">
      <c r="A414" s="14"/>
      <c r="B414" s="5"/>
      <c r="C414" s="15" t="str">
        <f aca="false">IF(B414="","",IFERROR(INDEX('Mug Marks'!$A$5:$A$204,MATCH(B414,'Mug Marks'!$B$5:$B$204,0)),"(not on Mug Marks)"))</f>
        <v/>
      </c>
      <c r="D414" s="6"/>
      <c r="E414" s="4"/>
      <c r="F414" s="4"/>
      <c r="G414" s="8" t="str">
        <f aca="false">IF(A414="","",A414+Settings!$B$6/24)</f>
        <v/>
      </c>
    </row>
    <row r="415" customFormat="false" ht="15" hidden="false" customHeight="false" outlineLevel="0" collapsed="false">
      <c r="A415" s="14"/>
      <c r="B415" s="5"/>
      <c r="C415" s="15" t="str">
        <f aca="false">IF(B415="","",IFERROR(INDEX('Mug Marks'!$A$5:$A$204,MATCH(B415,'Mug Marks'!$B$5:$B$204,0)),"(not on Mug Marks)"))</f>
        <v/>
      </c>
      <c r="D415" s="6"/>
      <c r="E415" s="4"/>
      <c r="F415" s="4"/>
      <c r="G415" s="8" t="str">
        <f aca="false">IF(A415="","",A415+Settings!$B$6/24)</f>
        <v/>
      </c>
    </row>
    <row r="416" customFormat="false" ht="15" hidden="false" customHeight="false" outlineLevel="0" collapsed="false">
      <c r="A416" s="14"/>
      <c r="B416" s="5"/>
      <c r="C416" s="15" t="str">
        <f aca="false">IF(B416="","",IFERROR(INDEX('Mug Marks'!$A$5:$A$204,MATCH(B416,'Mug Marks'!$B$5:$B$204,0)),"(not on Mug Marks)"))</f>
        <v/>
      </c>
      <c r="D416" s="6"/>
      <c r="E416" s="4"/>
      <c r="F416" s="4"/>
      <c r="G416" s="8" t="str">
        <f aca="false">IF(A416="","",A416+Settings!$B$6/24)</f>
        <v/>
      </c>
    </row>
    <row r="417" customFormat="false" ht="15" hidden="false" customHeight="false" outlineLevel="0" collapsed="false">
      <c r="A417" s="14"/>
      <c r="B417" s="5"/>
      <c r="C417" s="15" t="str">
        <f aca="false">IF(B417="","",IFERROR(INDEX('Mug Marks'!$A$5:$A$204,MATCH(B417,'Mug Marks'!$B$5:$B$204,0)),"(not on Mug Marks)"))</f>
        <v/>
      </c>
      <c r="D417" s="6"/>
      <c r="E417" s="4"/>
      <c r="F417" s="4"/>
      <c r="G417" s="8" t="str">
        <f aca="false">IF(A417="","",A417+Settings!$B$6/24)</f>
        <v/>
      </c>
    </row>
    <row r="418" customFormat="false" ht="15" hidden="false" customHeight="false" outlineLevel="0" collapsed="false">
      <c r="A418" s="14"/>
      <c r="B418" s="5"/>
      <c r="C418" s="15" t="str">
        <f aca="false">IF(B418="","",IFERROR(INDEX('Mug Marks'!$A$5:$A$204,MATCH(B418,'Mug Marks'!$B$5:$B$204,0)),"(not on Mug Marks)"))</f>
        <v/>
      </c>
      <c r="D418" s="6"/>
      <c r="E418" s="4"/>
      <c r="F418" s="4"/>
      <c r="G418" s="8" t="str">
        <f aca="false">IF(A418="","",A418+Settings!$B$6/24)</f>
        <v/>
      </c>
    </row>
    <row r="419" customFormat="false" ht="15" hidden="false" customHeight="false" outlineLevel="0" collapsed="false">
      <c r="A419" s="14"/>
      <c r="B419" s="5"/>
      <c r="C419" s="15" t="str">
        <f aca="false">IF(B419="","",IFERROR(INDEX('Mug Marks'!$A$5:$A$204,MATCH(B419,'Mug Marks'!$B$5:$B$204,0)),"(not on Mug Marks)"))</f>
        <v/>
      </c>
      <c r="D419" s="6"/>
      <c r="E419" s="4"/>
      <c r="F419" s="4"/>
      <c r="G419" s="8" t="str">
        <f aca="false">IF(A419="","",A419+Settings!$B$6/24)</f>
        <v/>
      </c>
    </row>
    <row r="420" customFormat="false" ht="15" hidden="false" customHeight="false" outlineLevel="0" collapsed="false">
      <c r="A420" s="14"/>
      <c r="B420" s="5"/>
      <c r="C420" s="15" t="str">
        <f aca="false">IF(B420="","",IFERROR(INDEX('Mug Marks'!$A$5:$A$204,MATCH(B420,'Mug Marks'!$B$5:$B$204,0)),"(not on Mug Marks)"))</f>
        <v/>
      </c>
      <c r="D420" s="6"/>
      <c r="E420" s="4"/>
      <c r="F420" s="4"/>
      <c r="G420" s="8" t="str">
        <f aca="false">IF(A420="","",A420+Settings!$B$6/24)</f>
        <v/>
      </c>
    </row>
    <row r="421" customFormat="false" ht="15" hidden="false" customHeight="false" outlineLevel="0" collapsed="false">
      <c r="A421" s="14"/>
      <c r="B421" s="5"/>
      <c r="C421" s="15" t="str">
        <f aca="false">IF(B421="","",IFERROR(INDEX('Mug Marks'!$A$5:$A$204,MATCH(B421,'Mug Marks'!$B$5:$B$204,0)),"(not on Mug Marks)"))</f>
        <v/>
      </c>
      <c r="D421" s="6"/>
      <c r="E421" s="4"/>
      <c r="F421" s="4"/>
      <c r="G421" s="8" t="str">
        <f aca="false">IF(A421="","",A421+Settings!$B$6/24)</f>
        <v/>
      </c>
    </row>
    <row r="422" customFormat="false" ht="15" hidden="false" customHeight="false" outlineLevel="0" collapsed="false">
      <c r="A422" s="14"/>
      <c r="B422" s="5"/>
      <c r="C422" s="15" t="str">
        <f aca="false">IF(B422="","",IFERROR(INDEX('Mug Marks'!$A$5:$A$204,MATCH(B422,'Mug Marks'!$B$5:$B$204,0)),"(not on Mug Marks)"))</f>
        <v/>
      </c>
      <c r="D422" s="6"/>
      <c r="E422" s="4"/>
      <c r="F422" s="4"/>
      <c r="G422" s="8" t="str">
        <f aca="false">IF(A422="","",A422+Settings!$B$6/24)</f>
        <v/>
      </c>
    </row>
    <row r="423" customFormat="false" ht="15" hidden="false" customHeight="false" outlineLevel="0" collapsed="false">
      <c r="A423" s="14"/>
      <c r="B423" s="5"/>
      <c r="C423" s="15" t="str">
        <f aca="false">IF(B423="","",IFERROR(INDEX('Mug Marks'!$A$5:$A$204,MATCH(B423,'Mug Marks'!$B$5:$B$204,0)),"(not on Mug Marks)"))</f>
        <v/>
      </c>
      <c r="D423" s="6"/>
      <c r="E423" s="4"/>
      <c r="F423" s="4"/>
      <c r="G423" s="8" t="str">
        <f aca="false">IF(A423="","",A423+Settings!$B$6/24)</f>
        <v/>
      </c>
    </row>
    <row r="424" customFormat="false" ht="15" hidden="false" customHeight="false" outlineLevel="0" collapsed="false">
      <c r="A424" s="14"/>
      <c r="B424" s="5"/>
      <c r="C424" s="15" t="str">
        <f aca="false">IF(B424="","",IFERROR(INDEX('Mug Marks'!$A$5:$A$204,MATCH(B424,'Mug Marks'!$B$5:$B$204,0)),"(not on Mug Marks)"))</f>
        <v/>
      </c>
      <c r="D424" s="6"/>
      <c r="E424" s="4"/>
      <c r="F424" s="4"/>
      <c r="G424" s="8" t="str">
        <f aca="false">IF(A424="","",A424+Settings!$B$6/24)</f>
        <v/>
      </c>
    </row>
    <row r="425" customFormat="false" ht="15" hidden="false" customHeight="false" outlineLevel="0" collapsed="false">
      <c r="A425" s="14"/>
      <c r="B425" s="5"/>
      <c r="C425" s="15" t="str">
        <f aca="false">IF(B425="","",IFERROR(INDEX('Mug Marks'!$A$5:$A$204,MATCH(B425,'Mug Marks'!$B$5:$B$204,0)),"(not on Mug Marks)"))</f>
        <v/>
      </c>
      <c r="D425" s="6"/>
      <c r="E425" s="4"/>
      <c r="F425" s="4"/>
      <c r="G425" s="8" t="str">
        <f aca="false">IF(A425="","",A425+Settings!$B$6/24)</f>
        <v/>
      </c>
    </row>
    <row r="426" customFormat="false" ht="15" hidden="false" customHeight="false" outlineLevel="0" collapsed="false">
      <c r="A426" s="14"/>
      <c r="B426" s="5"/>
      <c r="C426" s="15" t="str">
        <f aca="false">IF(B426="","",IFERROR(INDEX('Mug Marks'!$A$5:$A$204,MATCH(B426,'Mug Marks'!$B$5:$B$204,0)),"(not on Mug Marks)"))</f>
        <v/>
      </c>
      <c r="D426" s="6"/>
      <c r="E426" s="4"/>
      <c r="F426" s="4"/>
      <c r="G426" s="8" t="str">
        <f aca="false">IF(A426="","",A426+Settings!$B$6/24)</f>
        <v/>
      </c>
    </row>
    <row r="427" customFormat="false" ht="15" hidden="false" customHeight="false" outlineLevel="0" collapsed="false">
      <c r="A427" s="14"/>
      <c r="B427" s="5"/>
      <c r="C427" s="15" t="str">
        <f aca="false">IF(B427="","",IFERROR(INDEX('Mug Marks'!$A$5:$A$204,MATCH(B427,'Mug Marks'!$B$5:$B$204,0)),"(not on Mug Marks)"))</f>
        <v/>
      </c>
      <c r="D427" s="6"/>
      <c r="E427" s="4"/>
      <c r="F427" s="4"/>
      <c r="G427" s="8" t="str">
        <f aca="false">IF(A427="","",A427+Settings!$B$6/24)</f>
        <v/>
      </c>
    </row>
    <row r="428" customFormat="false" ht="15" hidden="false" customHeight="false" outlineLevel="0" collapsed="false">
      <c r="A428" s="14"/>
      <c r="B428" s="5"/>
      <c r="C428" s="15" t="str">
        <f aca="false">IF(B428="","",IFERROR(INDEX('Mug Marks'!$A$5:$A$204,MATCH(B428,'Mug Marks'!$B$5:$B$204,0)),"(not on Mug Marks)"))</f>
        <v/>
      </c>
      <c r="D428" s="6"/>
      <c r="E428" s="4"/>
      <c r="F428" s="4"/>
      <c r="G428" s="8" t="str">
        <f aca="false">IF(A428="","",A428+Settings!$B$6/24)</f>
        <v/>
      </c>
    </row>
    <row r="429" customFormat="false" ht="15" hidden="false" customHeight="false" outlineLevel="0" collapsed="false">
      <c r="A429" s="14"/>
      <c r="B429" s="5"/>
      <c r="C429" s="15" t="str">
        <f aca="false">IF(B429="","",IFERROR(INDEX('Mug Marks'!$A$5:$A$204,MATCH(B429,'Mug Marks'!$B$5:$B$204,0)),"(not on Mug Marks)"))</f>
        <v/>
      </c>
      <c r="D429" s="6"/>
      <c r="E429" s="4"/>
      <c r="F429" s="4"/>
      <c r="G429" s="8" t="str">
        <f aca="false">IF(A429="","",A429+Settings!$B$6/24)</f>
        <v/>
      </c>
    </row>
    <row r="430" customFormat="false" ht="15" hidden="false" customHeight="false" outlineLevel="0" collapsed="false">
      <c r="A430" s="14"/>
      <c r="B430" s="5"/>
      <c r="C430" s="15" t="str">
        <f aca="false">IF(B430="","",IFERROR(INDEX('Mug Marks'!$A$5:$A$204,MATCH(B430,'Mug Marks'!$B$5:$B$204,0)),"(not on Mug Marks)"))</f>
        <v/>
      </c>
      <c r="D430" s="6"/>
      <c r="E430" s="4"/>
      <c r="F430" s="4"/>
      <c r="G430" s="8" t="str">
        <f aca="false">IF(A430="","",A430+Settings!$B$6/24)</f>
        <v/>
      </c>
    </row>
    <row r="431" customFormat="false" ht="15" hidden="false" customHeight="false" outlineLevel="0" collapsed="false">
      <c r="A431" s="14"/>
      <c r="B431" s="5"/>
      <c r="C431" s="15" t="str">
        <f aca="false">IF(B431="","",IFERROR(INDEX('Mug Marks'!$A$5:$A$204,MATCH(B431,'Mug Marks'!$B$5:$B$204,0)),"(not on Mug Marks)"))</f>
        <v/>
      </c>
      <c r="D431" s="6"/>
      <c r="E431" s="4"/>
      <c r="F431" s="4"/>
      <c r="G431" s="8" t="str">
        <f aca="false">IF(A431="","",A431+Settings!$B$6/24)</f>
        <v/>
      </c>
    </row>
    <row r="432" customFormat="false" ht="15" hidden="false" customHeight="false" outlineLevel="0" collapsed="false">
      <c r="A432" s="14"/>
      <c r="B432" s="5"/>
      <c r="C432" s="15" t="str">
        <f aca="false">IF(B432="","",IFERROR(INDEX('Mug Marks'!$A$5:$A$204,MATCH(B432,'Mug Marks'!$B$5:$B$204,0)),"(not on Mug Marks)"))</f>
        <v/>
      </c>
      <c r="D432" s="6"/>
      <c r="E432" s="4"/>
      <c r="F432" s="4"/>
      <c r="G432" s="8" t="str">
        <f aca="false">IF(A432="","",A432+Settings!$B$6/24)</f>
        <v/>
      </c>
    </row>
    <row r="433" customFormat="false" ht="15" hidden="false" customHeight="false" outlineLevel="0" collapsed="false">
      <c r="A433" s="14"/>
      <c r="B433" s="5"/>
      <c r="C433" s="15" t="str">
        <f aca="false">IF(B433="","",IFERROR(INDEX('Mug Marks'!$A$5:$A$204,MATCH(B433,'Mug Marks'!$B$5:$B$204,0)),"(not on Mug Marks)"))</f>
        <v/>
      </c>
      <c r="D433" s="6"/>
      <c r="E433" s="4"/>
      <c r="F433" s="4"/>
      <c r="G433" s="8" t="str">
        <f aca="false">IF(A433="","",A433+Settings!$B$6/24)</f>
        <v/>
      </c>
    </row>
    <row r="434" customFormat="false" ht="15" hidden="false" customHeight="false" outlineLevel="0" collapsed="false">
      <c r="A434" s="14"/>
      <c r="B434" s="5"/>
      <c r="C434" s="15" t="str">
        <f aca="false">IF(B434="","",IFERROR(INDEX('Mug Marks'!$A$5:$A$204,MATCH(B434,'Mug Marks'!$B$5:$B$204,0)),"(not on Mug Marks)"))</f>
        <v/>
      </c>
      <c r="D434" s="6"/>
      <c r="E434" s="4"/>
      <c r="F434" s="4"/>
      <c r="G434" s="8" t="str">
        <f aca="false">IF(A434="","",A434+Settings!$B$6/24)</f>
        <v/>
      </c>
    </row>
    <row r="435" customFormat="false" ht="15" hidden="false" customHeight="false" outlineLevel="0" collapsed="false">
      <c r="A435" s="14"/>
      <c r="B435" s="5"/>
      <c r="C435" s="15" t="str">
        <f aca="false">IF(B435="","",IFERROR(INDEX('Mug Marks'!$A$5:$A$204,MATCH(B435,'Mug Marks'!$B$5:$B$204,0)),"(not on Mug Marks)"))</f>
        <v/>
      </c>
      <c r="D435" s="6"/>
      <c r="E435" s="4"/>
      <c r="F435" s="4"/>
      <c r="G435" s="8" t="str">
        <f aca="false">IF(A435="","",A435+Settings!$B$6/24)</f>
        <v/>
      </c>
    </row>
    <row r="436" customFormat="false" ht="15" hidden="false" customHeight="false" outlineLevel="0" collapsed="false">
      <c r="A436" s="14"/>
      <c r="B436" s="5"/>
      <c r="C436" s="15" t="str">
        <f aca="false">IF(B436="","",IFERROR(INDEX('Mug Marks'!$A$5:$A$204,MATCH(B436,'Mug Marks'!$B$5:$B$204,0)),"(not on Mug Marks)"))</f>
        <v/>
      </c>
      <c r="D436" s="6"/>
      <c r="E436" s="4"/>
      <c r="F436" s="4"/>
      <c r="G436" s="8" t="str">
        <f aca="false">IF(A436="","",A436+Settings!$B$6/24)</f>
        <v/>
      </c>
    </row>
    <row r="437" customFormat="false" ht="15" hidden="false" customHeight="false" outlineLevel="0" collapsed="false">
      <c r="A437" s="14"/>
      <c r="B437" s="5"/>
      <c r="C437" s="15" t="str">
        <f aca="false">IF(B437="","",IFERROR(INDEX('Mug Marks'!$A$5:$A$204,MATCH(B437,'Mug Marks'!$B$5:$B$204,0)),"(not on Mug Marks)"))</f>
        <v/>
      </c>
      <c r="D437" s="6"/>
      <c r="E437" s="4"/>
      <c r="F437" s="4"/>
      <c r="G437" s="8" t="str">
        <f aca="false">IF(A437="","",A437+Settings!$B$6/24)</f>
        <v/>
      </c>
    </row>
    <row r="438" customFormat="false" ht="15" hidden="false" customHeight="false" outlineLevel="0" collapsed="false">
      <c r="A438" s="14"/>
      <c r="B438" s="5"/>
      <c r="C438" s="15" t="str">
        <f aca="false">IF(B438="","",IFERROR(INDEX('Mug Marks'!$A$5:$A$204,MATCH(B438,'Mug Marks'!$B$5:$B$204,0)),"(not on Mug Marks)"))</f>
        <v/>
      </c>
      <c r="D438" s="6"/>
      <c r="E438" s="4"/>
      <c r="F438" s="4"/>
      <c r="G438" s="8" t="str">
        <f aca="false">IF(A438="","",A438+Settings!$B$6/24)</f>
        <v/>
      </c>
    </row>
    <row r="439" customFormat="false" ht="15" hidden="false" customHeight="false" outlineLevel="0" collapsed="false">
      <c r="A439" s="14"/>
      <c r="B439" s="5"/>
      <c r="C439" s="15" t="str">
        <f aca="false">IF(B439="","",IFERROR(INDEX('Mug Marks'!$A$5:$A$204,MATCH(B439,'Mug Marks'!$B$5:$B$204,0)),"(not on Mug Marks)"))</f>
        <v/>
      </c>
      <c r="D439" s="6"/>
      <c r="E439" s="4"/>
      <c r="F439" s="4"/>
      <c r="G439" s="8" t="str">
        <f aca="false">IF(A439="","",A439+Settings!$B$6/24)</f>
        <v/>
      </c>
    </row>
    <row r="440" customFormat="false" ht="15" hidden="false" customHeight="false" outlineLevel="0" collapsed="false">
      <c r="A440" s="14"/>
      <c r="B440" s="5"/>
      <c r="C440" s="15" t="str">
        <f aca="false">IF(B440="","",IFERROR(INDEX('Mug Marks'!$A$5:$A$204,MATCH(B440,'Mug Marks'!$B$5:$B$204,0)),"(not on Mug Marks)"))</f>
        <v/>
      </c>
      <c r="D440" s="6"/>
      <c r="E440" s="4"/>
      <c r="F440" s="4"/>
      <c r="G440" s="8" t="str">
        <f aca="false">IF(A440="","",A440+Settings!$B$6/24)</f>
        <v/>
      </c>
    </row>
    <row r="441" customFormat="false" ht="15" hidden="false" customHeight="false" outlineLevel="0" collapsed="false">
      <c r="A441" s="14"/>
      <c r="B441" s="5"/>
      <c r="C441" s="15" t="str">
        <f aca="false">IF(B441="","",IFERROR(INDEX('Mug Marks'!$A$5:$A$204,MATCH(B441,'Mug Marks'!$B$5:$B$204,0)),"(not on Mug Marks)"))</f>
        <v/>
      </c>
      <c r="D441" s="6"/>
      <c r="E441" s="4"/>
      <c r="F441" s="4"/>
      <c r="G441" s="8" t="str">
        <f aca="false">IF(A441="","",A441+Settings!$B$6/24)</f>
        <v/>
      </c>
    </row>
    <row r="442" customFormat="false" ht="15" hidden="false" customHeight="false" outlineLevel="0" collapsed="false">
      <c r="A442" s="14"/>
      <c r="B442" s="5"/>
      <c r="C442" s="15" t="str">
        <f aca="false">IF(B442="","",IFERROR(INDEX('Mug Marks'!$A$5:$A$204,MATCH(B442,'Mug Marks'!$B$5:$B$204,0)),"(not on Mug Marks)"))</f>
        <v/>
      </c>
      <c r="D442" s="6"/>
      <c r="E442" s="4"/>
      <c r="F442" s="4"/>
      <c r="G442" s="8" t="str">
        <f aca="false">IF(A442="","",A442+Settings!$B$6/24)</f>
        <v/>
      </c>
    </row>
    <row r="443" customFormat="false" ht="15" hidden="false" customHeight="false" outlineLevel="0" collapsed="false">
      <c r="A443" s="14"/>
      <c r="B443" s="5"/>
      <c r="C443" s="15" t="str">
        <f aca="false">IF(B443="","",IFERROR(INDEX('Mug Marks'!$A$5:$A$204,MATCH(B443,'Mug Marks'!$B$5:$B$204,0)),"(not on Mug Marks)"))</f>
        <v/>
      </c>
      <c r="D443" s="6"/>
      <c r="E443" s="4"/>
      <c r="F443" s="4"/>
      <c r="G443" s="8" t="str">
        <f aca="false">IF(A443="","",A443+Settings!$B$6/24)</f>
        <v/>
      </c>
    </row>
    <row r="444" customFormat="false" ht="15" hidden="false" customHeight="false" outlineLevel="0" collapsed="false">
      <c r="A444" s="14"/>
      <c r="B444" s="5"/>
      <c r="C444" s="15" t="str">
        <f aca="false">IF(B444="","",IFERROR(INDEX('Mug Marks'!$A$5:$A$204,MATCH(B444,'Mug Marks'!$B$5:$B$204,0)),"(not on Mug Marks)"))</f>
        <v/>
      </c>
      <c r="D444" s="6"/>
      <c r="E444" s="4"/>
      <c r="F444" s="4"/>
      <c r="G444" s="8" t="str">
        <f aca="false">IF(A444="","",A444+Settings!$B$6/24)</f>
        <v/>
      </c>
    </row>
    <row r="445" customFormat="false" ht="15" hidden="false" customHeight="false" outlineLevel="0" collapsed="false">
      <c r="A445" s="14"/>
      <c r="B445" s="5"/>
      <c r="C445" s="15" t="str">
        <f aca="false">IF(B445="","",IFERROR(INDEX('Mug Marks'!$A$5:$A$204,MATCH(B445,'Mug Marks'!$B$5:$B$204,0)),"(not on Mug Marks)"))</f>
        <v/>
      </c>
      <c r="D445" s="6"/>
      <c r="E445" s="4"/>
      <c r="F445" s="4"/>
      <c r="G445" s="8" t="str">
        <f aca="false">IF(A445="","",A445+Settings!$B$6/24)</f>
        <v/>
      </c>
    </row>
    <row r="446" customFormat="false" ht="15" hidden="false" customHeight="false" outlineLevel="0" collapsed="false">
      <c r="A446" s="14"/>
      <c r="B446" s="5"/>
      <c r="C446" s="15" t="str">
        <f aca="false">IF(B446="","",IFERROR(INDEX('Mug Marks'!$A$5:$A$204,MATCH(B446,'Mug Marks'!$B$5:$B$204,0)),"(not on Mug Marks)"))</f>
        <v/>
      </c>
      <c r="D446" s="6"/>
      <c r="E446" s="4"/>
      <c r="F446" s="4"/>
      <c r="G446" s="8" t="str">
        <f aca="false">IF(A446="","",A446+Settings!$B$6/24)</f>
        <v/>
      </c>
    </row>
    <row r="447" customFormat="false" ht="15" hidden="false" customHeight="false" outlineLevel="0" collapsed="false">
      <c r="A447" s="14"/>
      <c r="B447" s="5"/>
      <c r="C447" s="15" t="str">
        <f aca="false">IF(B447="","",IFERROR(INDEX('Mug Marks'!$A$5:$A$204,MATCH(B447,'Mug Marks'!$B$5:$B$204,0)),"(not on Mug Marks)"))</f>
        <v/>
      </c>
      <c r="D447" s="6"/>
      <c r="E447" s="4"/>
      <c r="F447" s="4"/>
      <c r="G447" s="8" t="str">
        <f aca="false">IF(A447="","",A447+Settings!$B$6/24)</f>
        <v/>
      </c>
    </row>
    <row r="448" customFormat="false" ht="15" hidden="false" customHeight="false" outlineLevel="0" collapsed="false">
      <c r="A448" s="14"/>
      <c r="B448" s="5"/>
      <c r="C448" s="15" t="str">
        <f aca="false">IF(B448="","",IFERROR(INDEX('Mug Marks'!$A$5:$A$204,MATCH(B448,'Mug Marks'!$B$5:$B$204,0)),"(not on Mug Marks)"))</f>
        <v/>
      </c>
      <c r="D448" s="6"/>
      <c r="E448" s="4"/>
      <c r="F448" s="4"/>
      <c r="G448" s="8" t="str">
        <f aca="false">IF(A448="","",A448+Settings!$B$6/24)</f>
        <v/>
      </c>
    </row>
    <row r="449" customFormat="false" ht="15" hidden="false" customHeight="false" outlineLevel="0" collapsed="false">
      <c r="A449" s="14"/>
      <c r="B449" s="5"/>
      <c r="C449" s="15" t="str">
        <f aca="false">IF(B449="","",IFERROR(INDEX('Mug Marks'!$A$5:$A$204,MATCH(B449,'Mug Marks'!$B$5:$B$204,0)),"(not on Mug Marks)"))</f>
        <v/>
      </c>
      <c r="D449" s="6"/>
      <c r="E449" s="4"/>
      <c r="F449" s="4"/>
      <c r="G449" s="8" t="str">
        <f aca="false">IF(A449="","",A449+Settings!$B$6/24)</f>
        <v/>
      </c>
    </row>
    <row r="450" customFormat="false" ht="15" hidden="false" customHeight="false" outlineLevel="0" collapsed="false">
      <c r="A450" s="14"/>
      <c r="B450" s="5"/>
      <c r="C450" s="15" t="str">
        <f aca="false">IF(B450="","",IFERROR(INDEX('Mug Marks'!$A$5:$A$204,MATCH(B450,'Mug Marks'!$B$5:$B$204,0)),"(not on Mug Marks)"))</f>
        <v/>
      </c>
      <c r="D450" s="6"/>
      <c r="E450" s="4"/>
      <c r="F450" s="4"/>
      <c r="G450" s="8" t="str">
        <f aca="false">IF(A450="","",A450+Settings!$B$6/24)</f>
        <v/>
      </c>
    </row>
    <row r="451" customFormat="false" ht="15" hidden="false" customHeight="false" outlineLevel="0" collapsed="false">
      <c r="A451" s="14"/>
      <c r="B451" s="5"/>
      <c r="C451" s="15" t="str">
        <f aca="false">IF(B451="","",IFERROR(INDEX('Mug Marks'!$A$5:$A$204,MATCH(B451,'Mug Marks'!$B$5:$B$204,0)),"(not on Mug Marks)"))</f>
        <v/>
      </c>
      <c r="D451" s="6"/>
      <c r="E451" s="4"/>
      <c r="F451" s="4"/>
      <c r="G451" s="8" t="str">
        <f aca="false">IF(A451="","",A451+Settings!$B$6/24)</f>
        <v/>
      </c>
    </row>
    <row r="452" customFormat="false" ht="15" hidden="false" customHeight="false" outlineLevel="0" collapsed="false">
      <c r="A452" s="14"/>
      <c r="B452" s="5"/>
      <c r="C452" s="15" t="str">
        <f aca="false">IF(B452="","",IFERROR(INDEX('Mug Marks'!$A$5:$A$204,MATCH(B452,'Mug Marks'!$B$5:$B$204,0)),"(not on Mug Marks)"))</f>
        <v/>
      </c>
      <c r="D452" s="6"/>
      <c r="E452" s="4"/>
      <c r="F452" s="4"/>
      <c r="G452" s="8" t="str">
        <f aca="false">IF(A452="","",A452+Settings!$B$6/24)</f>
        <v/>
      </c>
    </row>
    <row r="453" customFormat="false" ht="15" hidden="false" customHeight="false" outlineLevel="0" collapsed="false">
      <c r="A453" s="14"/>
      <c r="B453" s="5"/>
      <c r="C453" s="15" t="str">
        <f aca="false">IF(B453="","",IFERROR(INDEX('Mug Marks'!$A$5:$A$204,MATCH(B453,'Mug Marks'!$B$5:$B$204,0)),"(not on Mug Marks)"))</f>
        <v/>
      </c>
      <c r="D453" s="6"/>
      <c r="E453" s="4"/>
      <c r="F453" s="4"/>
      <c r="G453" s="8" t="str">
        <f aca="false">IF(A453="","",A453+Settings!$B$6/24)</f>
        <v/>
      </c>
    </row>
    <row r="454" customFormat="false" ht="15" hidden="false" customHeight="false" outlineLevel="0" collapsed="false">
      <c r="A454" s="14"/>
      <c r="B454" s="5"/>
      <c r="C454" s="15" t="str">
        <f aca="false">IF(B454="","",IFERROR(INDEX('Mug Marks'!$A$5:$A$204,MATCH(B454,'Mug Marks'!$B$5:$B$204,0)),"(not on Mug Marks)"))</f>
        <v/>
      </c>
      <c r="D454" s="6"/>
      <c r="E454" s="4"/>
      <c r="F454" s="4"/>
      <c r="G454" s="8" t="str">
        <f aca="false">IF(A454="","",A454+Settings!$B$6/24)</f>
        <v/>
      </c>
    </row>
    <row r="455" customFormat="false" ht="15" hidden="false" customHeight="false" outlineLevel="0" collapsed="false">
      <c r="A455" s="14"/>
      <c r="B455" s="5"/>
      <c r="C455" s="15" t="str">
        <f aca="false">IF(B455="","",IFERROR(INDEX('Mug Marks'!$A$5:$A$204,MATCH(B455,'Mug Marks'!$B$5:$B$204,0)),"(not on Mug Marks)"))</f>
        <v/>
      </c>
      <c r="D455" s="6"/>
      <c r="E455" s="4"/>
      <c r="F455" s="4"/>
      <c r="G455" s="8" t="str">
        <f aca="false">IF(A455="","",A455+Settings!$B$6/24)</f>
        <v/>
      </c>
    </row>
    <row r="456" customFormat="false" ht="15" hidden="false" customHeight="false" outlineLevel="0" collapsed="false">
      <c r="A456" s="14"/>
      <c r="B456" s="5"/>
      <c r="C456" s="15" t="str">
        <f aca="false">IF(B456="","",IFERROR(INDEX('Mug Marks'!$A$5:$A$204,MATCH(B456,'Mug Marks'!$B$5:$B$204,0)),"(not on Mug Marks)"))</f>
        <v/>
      </c>
      <c r="D456" s="6"/>
      <c r="E456" s="4"/>
      <c r="F456" s="4"/>
      <c r="G456" s="8" t="str">
        <f aca="false">IF(A456="","",A456+Settings!$B$6/24)</f>
        <v/>
      </c>
    </row>
    <row r="457" customFormat="false" ht="15" hidden="false" customHeight="false" outlineLevel="0" collapsed="false">
      <c r="A457" s="14"/>
      <c r="B457" s="5"/>
      <c r="C457" s="15" t="str">
        <f aca="false">IF(B457="","",IFERROR(INDEX('Mug Marks'!$A$5:$A$204,MATCH(B457,'Mug Marks'!$B$5:$B$204,0)),"(not on Mug Marks)"))</f>
        <v/>
      </c>
      <c r="D457" s="6"/>
      <c r="E457" s="4"/>
      <c r="F457" s="4"/>
      <c r="G457" s="8" t="str">
        <f aca="false">IF(A457="","",A457+Settings!$B$6/24)</f>
        <v/>
      </c>
    </row>
    <row r="458" customFormat="false" ht="15" hidden="false" customHeight="false" outlineLevel="0" collapsed="false">
      <c r="A458" s="14"/>
      <c r="B458" s="5"/>
      <c r="C458" s="15" t="str">
        <f aca="false">IF(B458="","",IFERROR(INDEX('Mug Marks'!$A$5:$A$204,MATCH(B458,'Mug Marks'!$B$5:$B$204,0)),"(not on Mug Marks)"))</f>
        <v/>
      </c>
      <c r="D458" s="6"/>
      <c r="E458" s="4"/>
      <c r="F458" s="4"/>
      <c r="G458" s="8" t="str">
        <f aca="false">IF(A458="","",A458+Settings!$B$6/24)</f>
        <v/>
      </c>
    </row>
    <row r="459" customFormat="false" ht="15" hidden="false" customHeight="false" outlineLevel="0" collapsed="false">
      <c r="A459" s="14"/>
      <c r="B459" s="5"/>
      <c r="C459" s="15" t="str">
        <f aca="false">IF(B459="","",IFERROR(INDEX('Mug Marks'!$A$5:$A$204,MATCH(B459,'Mug Marks'!$B$5:$B$204,0)),"(not on Mug Marks)"))</f>
        <v/>
      </c>
      <c r="D459" s="6"/>
      <c r="E459" s="4"/>
      <c r="F459" s="4"/>
      <c r="G459" s="8" t="str">
        <f aca="false">IF(A459="","",A459+Settings!$B$6/24)</f>
        <v/>
      </c>
    </row>
    <row r="460" customFormat="false" ht="15" hidden="false" customHeight="false" outlineLevel="0" collapsed="false">
      <c r="A460" s="14"/>
      <c r="B460" s="5"/>
      <c r="C460" s="15" t="str">
        <f aca="false">IF(B460="","",IFERROR(INDEX('Mug Marks'!$A$5:$A$204,MATCH(B460,'Mug Marks'!$B$5:$B$204,0)),"(not on Mug Marks)"))</f>
        <v/>
      </c>
      <c r="D460" s="6"/>
      <c r="E460" s="4"/>
      <c r="F460" s="4"/>
      <c r="G460" s="8" t="str">
        <f aca="false">IF(A460="","",A460+Settings!$B$6/24)</f>
        <v/>
      </c>
    </row>
    <row r="461" customFormat="false" ht="15" hidden="false" customHeight="false" outlineLevel="0" collapsed="false">
      <c r="A461" s="14"/>
      <c r="B461" s="5"/>
      <c r="C461" s="15" t="str">
        <f aca="false">IF(B461="","",IFERROR(INDEX('Mug Marks'!$A$5:$A$204,MATCH(B461,'Mug Marks'!$B$5:$B$204,0)),"(not on Mug Marks)"))</f>
        <v/>
      </c>
      <c r="D461" s="6"/>
      <c r="E461" s="4"/>
      <c r="F461" s="4"/>
      <c r="G461" s="8" t="str">
        <f aca="false">IF(A461="","",A461+Settings!$B$6/24)</f>
        <v/>
      </c>
    </row>
    <row r="462" customFormat="false" ht="15" hidden="false" customHeight="false" outlineLevel="0" collapsed="false">
      <c r="A462" s="14"/>
      <c r="B462" s="5"/>
      <c r="C462" s="15" t="str">
        <f aca="false">IF(B462="","",IFERROR(INDEX('Mug Marks'!$A$5:$A$204,MATCH(B462,'Mug Marks'!$B$5:$B$204,0)),"(not on Mug Marks)"))</f>
        <v/>
      </c>
      <c r="D462" s="6"/>
      <c r="E462" s="4"/>
      <c r="F462" s="4"/>
      <c r="G462" s="8" t="str">
        <f aca="false">IF(A462="","",A462+Settings!$B$6/24)</f>
        <v/>
      </c>
    </row>
    <row r="463" customFormat="false" ht="15" hidden="false" customHeight="false" outlineLevel="0" collapsed="false">
      <c r="A463" s="14"/>
      <c r="B463" s="5"/>
      <c r="C463" s="15" t="str">
        <f aca="false">IF(B463="","",IFERROR(INDEX('Mug Marks'!$A$5:$A$204,MATCH(B463,'Mug Marks'!$B$5:$B$204,0)),"(not on Mug Marks)"))</f>
        <v/>
      </c>
      <c r="D463" s="6"/>
      <c r="E463" s="4"/>
      <c r="F463" s="4"/>
      <c r="G463" s="8" t="str">
        <f aca="false">IF(A463="","",A463+Settings!$B$6/24)</f>
        <v/>
      </c>
    </row>
    <row r="464" customFormat="false" ht="15" hidden="false" customHeight="false" outlineLevel="0" collapsed="false">
      <c r="A464" s="14"/>
      <c r="B464" s="5"/>
      <c r="C464" s="15" t="str">
        <f aca="false">IF(B464="","",IFERROR(INDEX('Mug Marks'!$A$5:$A$204,MATCH(B464,'Mug Marks'!$B$5:$B$204,0)),"(not on Mug Marks)"))</f>
        <v/>
      </c>
      <c r="D464" s="6"/>
      <c r="E464" s="4"/>
      <c r="F464" s="4"/>
      <c r="G464" s="8" t="str">
        <f aca="false">IF(A464="","",A464+Settings!$B$6/24)</f>
        <v/>
      </c>
    </row>
    <row r="465" customFormat="false" ht="15" hidden="false" customHeight="false" outlineLevel="0" collapsed="false">
      <c r="A465" s="14"/>
      <c r="B465" s="5"/>
      <c r="C465" s="15" t="str">
        <f aca="false">IF(B465="","",IFERROR(INDEX('Mug Marks'!$A$5:$A$204,MATCH(B465,'Mug Marks'!$B$5:$B$204,0)),"(not on Mug Marks)"))</f>
        <v/>
      </c>
      <c r="D465" s="6"/>
      <c r="E465" s="4"/>
      <c r="F465" s="4"/>
      <c r="G465" s="8" t="str">
        <f aca="false">IF(A465="","",A465+Settings!$B$6/24)</f>
        <v/>
      </c>
    </row>
    <row r="466" customFormat="false" ht="15" hidden="false" customHeight="false" outlineLevel="0" collapsed="false">
      <c r="A466" s="14"/>
      <c r="B466" s="5"/>
      <c r="C466" s="15" t="str">
        <f aca="false">IF(B466="","",IFERROR(INDEX('Mug Marks'!$A$5:$A$204,MATCH(B466,'Mug Marks'!$B$5:$B$204,0)),"(not on Mug Marks)"))</f>
        <v/>
      </c>
      <c r="D466" s="6"/>
      <c r="E466" s="4"/>
      <c r="F466" s="4"/>
      <c r="G466" s="8" t="str">
        <f aca="false">IF(A466="","",A466+Settings!$B$6/24)</f>
        <v/>
      </c>
    </row>
    <row r="467" customFormat="false" ht="15" hidden="false" customHeight="false" outlineLevel="0" collapsed="false">
      <c r="A467" s="14"/>
      <c r="B467" s="5"/>
      <c r="C467" s="15" t="str">
        <f aca="false">IF(B467="","",IFERROR(INDEX('Mug Marks'!$A$5:$A$204,MATCH(B467,'Mug Marks'!$B$5:$B$204,0)),"(not on Mug Marks)"))</f>
        <v/>
      </c>
      <c r="D467" s="6"/>
      <c r="E467" s="4"/>
      <c r="F467" s="4"/>
      <c r="G467" s="8" t="str">
        <f aca="false">IF(A467="","",A467+Settings!$B$6/24)</f>
        <v/>
      </c>
    </row>
    <row r="468" customFormat="false" ht="15" hidden="false" customHeight="false" outlineLevel="0" collapsed="false">
      <c r="A468" s="14"/>
      <c r="B468" s="5"/>
      <c r="C468" s="15" t="str">
        <f aca="false">IF(B468="","",IFERROR(INDEX('Mug Marks'!$A$5:$A$204,MATCH(B468,'Mug Marks'!$B$5:$B$204,0)),"(not on Mug Marks)"))</f>
        <v/>
      </c>
      <c r="D468" s="6"/>
      <c r="E468" s="4"/>
      <c r="F468" s="4"/>
      <c r="G468" s="8" t="str">
        <f aca="false">IF(A468="","",A468+Settings!$B$6/24)</f>
        <v/>
      </c>
    </row>
    <row r="469" customFormat="false" ht="15" hidden="false" customHeight="false" outlineLevel="0" collapsed="false">
      <c r="A469" s="14"/>
      <c r="B469" s="5"/>
      <c r="C469" s="15" t="str">
        <f aca="false">IF(B469="","",IFERROR(INDEX('Mug Marks'!$A$5:$A$204,MATCH(B469,'Mug Marks'!$B$5:$B$204,0)),"(not on Mug Marks)"))</f>
        <v/>
      </c>
      <c r="D469" s="6"/>
      <c r="E469" s="4"/>
      <c r="F469" s="4"/>
      <c r="G469" s="8" t="str">
        <f aca="false">IF(A469="","",A469+Settings!$B$6/24)</f>
        <v/>
      </c>
    </row>
    <row r="470" customFormat="false" ht="15" hidden="false" customHeight="false" outlineLevel="0" collapsed="false">
      <c r="A470" s="14"/>
      <c r="B470" s="5"/>
      <c r="C470" s="15" t="str">
        <f aca="false">IF(B470="","",IFERROR(INDEX('Mug Marks'!$A$5:$A$204,MATCH(B470,'Mug Marks'!$B$5:$B$204,0)),"(not on Mug Marks)"))</f>
        <v/>
      </c>
      <c r="D470" s="6"/>
      <c r="E470" s="4"/>
      <c r="F470" s="4"/>
      <c r="G470" s="8" t="str">
        <f aca="false">IF(A470="","",A470+Settings!$B$6/24)</f>
        <v/>
      </c>
    </row>
    <row r="471" customFormat="false" ht="15" hidden="false" customHeight="false" outlineLevel="0" collapsed="false">
      <c r="A471" s="14"/>
      <c r="B471" s="5"/>
      <c r="C471" s="15" t="str">
        <f aca="false">IF(B471="","",IFERROR(INDEX('Mug Marks'!$A$5:$A$204,MATCH(B471,'Mug Marks'!$B$5:$B$204,0)),"(not on Mug Marks)"))</f>
        <v/>
      </c>
      <c r="D471" s="6"/>
      <c r="E471" s="4"/>
      <c r="F471" s="4"/>
      <c r="G471" s="8" t="str">
        <f aca="false">IF(A471="","",A471+Settings!$B$6/24)</f>
        <v/>
      </c>
    </row>
    <row r="472" customFormat="false" ht="15" hidden="false" customHeight="false" outlineLevel="0" collapsed="false">
      <c r="A472" s="14"/>
      <c r="B472" s="5"/>
      <c r="C472" s="15" t="str">
        <f aca="false">IF(B472="","",IFERROR(INDEX('Mug Marks'!$A$5:$A$204,MATCH(B472,'Mug Marks'!$B$5:$B$204,0)),"(not on Mug Marks)"))</f>
        <v/>
      </c>
      <c r="D472" s="6"/>
      <c r="E472" s="4"/>
      <c r="F472" s="4"/>
      <c r="G472" s="8" t="str">
        <f aca="false">IF(A472="","",A472+Settings!$B$6/24)</f>
        <v/>
      </c>
    </row>
    <row r="473" customFormat="false" ht="15" hidden="false" customHeight="false" outlineLevel="0" collapsed="false">
      <c r="A473" s="14"/>
      <c r="B473" s="5"/>
      <c r="C473" s="15" t="str">
        <f aca="false">IF(B473="","",IFERROR(INDEX('Mug Marks'!$A$5:$A$204,MATCH(B473,'Mug Marks'!$B$5:$B$204,0)),"(not on Mug Marks)"))</f>
        <v/>
      </c>
      <c r="D473" s="6"/>
      <c r="E473" s="4"/>
      <c r="F473" s="4"/>
      <c r="G473" s="8" t="str">
        <f aca="false">IF(A473="","",A473+Settings!$B$6/24)</f>
        <v/>
      </c>
    </row>
    <row r="474" customFormat="false" ht="15" hidden="false" customHeight="false" outlineLevel="0" collapsed="false">
      <c r="A474" s="14"/>
      <c r="B474" s="5"/>
      <c r="C474" s="15" t="str">
        <f aca="false">IF(B474="","",IFERROR(INDEX('Mug Marks'!$A$5:$A$204,MATCH(B474,'Mug Marks'!$B$5:$B$204,0)),"(not on Mug Marks)"))</f>
        <v/>
      </c>
      <c r="D474" s="6"/>
      <c r="E474" s="4"/>
      <c r="F474" s="4"/>
      <c r="G474" s="8" t="str">
        <f aca="false">IF(A474="","",A474+Settings!$B$6/24)</f>
        <v/>
      </c>
    </row>
    <row r="475" customFormat="false" ht="15" hidden="false" customHeight="false" outlineLevel="0" collapsed="false">
      <c r="A475" s="14"/>
      <c r="B475" s="5"/>
      <c r="C475" s="15" t="str">
        <f aca="false">IF(B475="","",IFERROR(INDEX('Mug Marks'!$A$5:$A$204,MATCH(B475,'Mug Marks'!$B$5:$B$204,0)),"(not on Mug Marks)"))</f>
        <v/>
      </c>
      <c r="D475" s="6"/>
      <c r="E475" s="4"/>
      <c r="F475" s="4"/>
      <c r="G475" s="8" t="str">
        <f aca="false">IF(A475="","",A475+Settings!$B$6/24)</f>
        <v/>
      </c>
    </row>
    <row r="476" customFormat="false" ht="15" hidden="false" customHeight="false" outlineLevel="0" collapsed="false">
      <c r="A476" s="14"/>
      <c r="B476" s="5"/>
      <c r="C476" s="15" t="str">
        <f aca="false">IF(B476="","",IFERROR(INDEX('Mug Marks'!$A$5:$A$204,MATCH(B476,'Mug Marks'!$B$5:$B$204,0)),"(not on Mug Marks)"))</f>
        <v/>
      </c>
      <c r="D476" s="6"/>
      <c r="E476" s="4"/>
      <c r="F476" s="4"/>
      <c r="G476" s="8" t="str">
        <f aca="false">IF(A476="","",A476+Settings!$B$6/24)</f>
        <v/>
      </c>
    </row>
    <row r="477" customFormat="false" ht="15" hidden="false" customHeight="false" outlineLevel="0" collapsed="false">
      <c r="A477" s="14"/>
      <c r="B477" s="5"/>
      <c r="C477" s="15" t="str">
        <f aca="false">IF(B477="","",IFERROR(INDEX('Mug Marks'!$A$5:$A$204,MATCH(B477,'Mug Marks'!$B$5:$B$204,0)),"(not on Mug Marks)"))</f>
        <v/>
      </c>
      <c r="D477" s="6"/>
      <c r="E477" s="4"/>
      <c r="F477" s="4"/>
      <c r="G477" s="8" t="str">
        <f aca="false">IF(A477="","",A477+Settings!$B$6/24)</f>
        <v/>
      </c>
    </row>
    <row r="478" customFormat="false" ht="15" hidden="false" customHeight="false" outlineLevel="0" collapsed="false">
      <c r="A478" s="14"/>
      <c r="B478" s="5"/>
      <c r="C478" s="15" t="str">
        <f aca="false">IF(B478="","",IFERROR(INDEX('Mug Marks'!$A$5:$A$204,MATCH(B478,'Mug Marks'!$B$5:$B$204,0)),"(not on Mug Marks)"))</f>
        <v/>
      </c>
      <c r="D478" s="6"/>
      <c r="E478" s="4"/>
      <c r="F478" s="4"/>
      <c r="G478" s="8" t="str">
        <f aca="false">IF(A478="","",A478+Settings!$B$6/24)</f>
        <v/>
      </c>
    </row>
    <row r="479" customFormat="false" ht="15" hidden="false" customHeight="false" outlineLevel="0" collapsed="false">
      <c r="A479" s="14"/>
      <c r="B479" s="5"/>
      <c r="C479" s="15" t="str">
        <f aca="false">IF(B479="","",IFERROR(INDEX('Mug Marks'!$A$5:$A$204,MATCH(B479,'Mug Marks'!$B$5:$B$204,0)),"(not on Mug Marks)"))</f>
        <v/>
      </c>
      <c r="D479" s="6"/>
      <c r="E479" s="4"/>
      <c r="F479" s="4"/>
      <c r="G479" s="8" t="str">
        <f aca="false">IF(A479="","",A479+Settings!$B$6/24)</f>
        <v/>
      </c>
    </row>
    <row r="480" customFormat="false" ht="15" hidden="false" customHeight="false" outlineLevel="0" collapsed="false">
      <c r="A480" s="14"/>
      <c r="B480" s="5"/>
      <c r="C480" s="15" t="str">
        <f aca="false">IF(B480="","",IFERROR(INDEX('Mug Marks'!$A$5:$A$204,MATCH(B480,'Mug Marks'!$B$5:$B$204,0)),"(not on Mug Marks)"))</f>
        <v/>
      </c>
      <c r="D480" s="6"/>
      <c r="E480" s="4"/>
      <c r="F480" s="4"/>
      <c r="G480" s="8" t="str">
        <f aca="false">IF(A480="","",A480+Settings!$B$6/24)</f>
        <v/>
      </c>
    </row>
    <row r="481" customFormat="false" ht="15" hidden="false" customHeight="false" outlineLevel="0" collapsed="false">
      <c r="A481" s="14"/>
      <c r="B481" s="5"/>
      <c r="C481" s="15" t="str">
        <f aca="false">IF(B481="","",IFERROR(INDEX('Mug Marks'!$A$5:$A$204,MATCH(B481,'Mug Marks'!$B$5:$B$204,0)),"(not on Mug Marks)"))</f>
        <v/>
      </c>
      <c r="D481" s="6"/>
      <c r="E481" s="4"/>
      <c r="F481" s="4"/>
      <c r="G481" s="8" t="str">
        <f aca="false">IF(A481="","",A481+Settings!$B$6/24)</f>
        <v/>
      </c>
    </row>
    <row r="482" customFormat="false" ht="15" hidden="false" customHeight="false" outlineLevel="0" collapsed="false">
      <c r="A482" s="14"/>
      <c r="B482" s="5"/>
      <c r="C482" s="15" t="str">
        <f aca="false">IF(B482="","",IFERROR(INDEX('Mug Marks'!$A$5:$A$204,MATCH(B482,'Mug Marks'!$B$5:$B$204,0)),"(not on Mug Marks)"))</f>
        <v/>
      </c>
      <c r="D482" s="6"/>
      <c r="E482" s="4"/>
      <c r="F482" s="4"/>
      <c r="G482" s="8" t="str">
        <f aca="false">IF(A482="","",A482+Settings!$B$6/24)</f>
        <v/>
      </c>
    </row>
    <row r="483" customFormat="false" ht="15" hidden="false" customHeight="false" outlineLevel="0" collapsed="false">
      <c r="A483" s="14"/>
      <c r="B483" s="5"/>
      <c r="C483" s="15" t="str">
        <f aca="false">IF(B483="","",IFERROR(INDEX('Mug Marks'!$A$5:$A$204,MATCH(B483,'Mug Marks'!$B$5:$B$204,0)),"(not on Mug Marks)"))</f>
        <v/>
      </c>
      <c r="D483" s="6"/>
      <c r="E483" s="4"/>
      <c r="F483" s="4"/>
      <c r="G483" s="8" t="str">
        <f aca="false">IF(A483="","",A483+Settings!$B$6/24)</f>
        <v/>
      </c>
    </row>
    <row r="484" customFormat="false" ht="15" hidden="false" customHeight="false" outlineLevel="0" collapsed="false">
      <c r="A484" s="14"/>
      <c r="B484" s="5"/>
      <c r="C484" s="15" t="str">
        <f aca="false">IF(B484="","",IFERROR(INDEX('Mug Marks'!$A$5:$A$204,MATCH(B484,'Mug Marks'!$B$5:$B$204,0)),"(not on Mug Marks)"))</f>
        <v/>
      </c>
      <c r="D484" s="6"/>
      <c r="E484" s="4"/>
      <c r="F484" s="4"/>
      <c r="G484" s="8" t="str">
        <f aca="false">IF(A484="","",A484+Settings!$B$6/24)</f>
        <v/>
      </c>
    </row>
    <row r="485" customFormat="false" ht="15" hidden="false" customHeight="false" outlineLevel="0" collapsed="false">
      <c r="A485" s="14"/>
      <c r="B485" s="5"/>
      <c r="C485" s="15" t="str">
        <f aca="false">IF(B485="","",IFERROR(INDEX('Mug Marks'!$A$5:$A$204,MATCH(B485,'Mug Marks'!$B$5:$B$204,0)),"(not on Mug Marks)"))</f>
        <v/>
      </c>
      <c r="D485" s="6"/>
      <c r="E485" s="4"/>
      <c r="F485" s="4"/>
      <c r="G485" s="8" t="str">
        <f aca="false">IF(A485="","",A485+Settings!$B$6/24)</f>
        <v/>
      </c>
    </row>
    <row r="486" customFormat="false" ht="15" hidden="false" customHeight="false" outlineLevel="0" collapsed="false">
      <c r="A486" s="14"/>
      <c r="B486" s="5"/>
      <c r="C486" s="15" t="str">
        <f aca="false">IF(B486="","",IFERROR(INDEX('Mug Marks'!$A$5:$A$204,MATCH(B486,'Mug Marks'!$B$5:$B$204,0)),"(not on Mug Marks)"))</f>
        <v/>
      </c>
      <c r="D486" s="6"/>
      <c r="E486" s="4"/>
      <c r="F486" s="4"/>
      <c r="G486" s="8" t="str">
        <f aca="false">IF(A486="","",A486+Settings!$B$6/24)</f>
        <v/>
      </c>
    </row>
    <row r="487" customFormat="false" ht="15" hidden="false" customHeight="false" outlineLevel="0" collapsed="false">
      <c r="A487" s="14"/>
      <c r="B487" s="5"/>
      <c r="C487" s="15" t="str">
        <f aca="false">IF(B487="","",IFERROR(INDEX('Mug Marks'!$A$5:$A$204,MATCH(B487,'Mug Marks'!$B$5:$B$204,0)),"(not on Mug Marks)"))</f>
        <v/>
      </c>
      <c r="D487" s="6"/>
      <c r="E487" s="4"/>
      <c r="F487" s="4"/>
      <c r="G487" s="8" t="str">
        <f aca="false">IF(A487="","",A487+Settings!$B$6/24)</f>
        <v/>
      </c>
    </row>
    <row r="488" customFormat="false" ht="15" hidden="false" customHeight="false" outlineLevel="0" collapsed="false">
      <c r="A488" s="14"/>
      <c r="B488" s="5"/>
      <c r="C488" s="15" t="str">
        <f aca="false">IF(B488="","",IFERROR(INDEX('Mug Marks'!$A$5:$A$204,MATCH(B488,'Mug Marks'!$B$5:$B$204,0)),"(not on Mug Marks)"))</f>
        <v/>
      </c>
      <c r="D488" s="6"/>
      <c r="E488" s="4"/>
      <c r="F488" s="4"/>
      <c r="G488" s="8" t="str">
        <f aca="false">IF(A488="","",A488+Settings!$B$6/24)</f>
        <v/>
      </c>
    </row>
    <row r="489" customFormat="false" ht="15" hidden="false" customHeight="false" outlineLevel="0" collapsed="false">
      <c r="A489" s="14"/>
      <c r="B489" s="5"/>
      <c r="C489" s="15" t="str">
        <f aca="false">IF(B489="","",IFERROR(INDEX('Mug Marks'!$A$5:$A$204,MATCH(B489,'Mug Marks'!$B$5:$B$204,0)),"(not on Mug Marks)"))</f>
        <v/>
      </c>
      <c r="D489" s="6"/>
      <c r="E489" s="4"/>
      <c r="F489" s="4"/>
      <c r="G489" s="8" t="str">
        <f aca="false">IF(A489="","",A489+Settings!$B$6/24)</f>
        <v/>
      </c>
    </row>
    <row r="490" customFormat="false" ht="15" hidden="false" customHeight="false" outlineLevel="0" collapsed="false">
      <c r="A490" s="14"/>
      <c r="B490" s="5"/>
      <c r="C490" s="15" t="str">
        <f aca="false">IF(B490="","",IFERROR(INDEX('Mug Marks'!$A$5:$A$204,MATCH(B490,'Mug Marks'!$B$5:$B$204,0)),"(not on Mug Marks)"))</f>
        <v/>
      </c>
      <c r="D490" s="6"/>
      <c r="E490" s="4"/>
      <c r="F490" s="4"/>
      <c r="G490" s="8" t="str">
        <f aca="false">IF(A490="","",A490+Settings!$B$6/24)</f>
        <v/>
      </c>
    </row>
    <row r="491" customFormat="false" ht="15" hidden="false" customHeight="false" outlineLevel="0" collapsed="false">
      <c r="A491" s="14"/>
      <c r="B491" s="5"/>
      <c r="C491" s="15" t="str">
        <f aca="false">IF(B491="","",IFERROR(INDEX('Mug Marks'!$A$5:$A$204,MATCH(B491,'Mug Marks'!$B$5:$B$204,0)),"(not on Mug Marks)"))</f>
        <v/>
      </c>
      <c r="D491" s="6"/>
      <c r="E491" s="4"/>
      <c r="F491" s="4"/>
      <c r="G491" s="8" t="str">
        <f aca="false">IF(A491="","",A491+Settings!$B$6/24)</f>
        <v/>
      </c>
    </row>
    <row r="492" customFormat="false" ht="15" hidden="false" customHeight="false" outlineLevel="0" collapsed="false">
      <c r="A492" s="14"/>
      <c r="B492" s="5"/>
      <c r="C492" s="15" t="str">
        <f aca="false">IF(B492="","",IFERROR(INDEX('Mug Marks'!$A$5:$A$204,MATCH(B492,'Mug Marks'!$B$5:$B$204,0)),"(not on Mug Marks)"))</f>
        <v/>
      </c>
      <c r="D492" s="6"/>
      <c r="E492" s="4"/>
      <c r="F492" s="4"/>
      <c r="G492" s="8" t="str">
        <f aca="false">IF(A492="","",A492+Settings!$B$6/24)</f>
        <v/>
      </c>
    </row>
    <row r="493" customFormat="false" ht="15" hidden="false" customHeight="false" outlineLevel="0" collapsed="false">
      <c r="A493" s="14"/>
      <c r="B493" s="5"/>
      <c r="C493" s="15" t="str">
        <f aca="false">IF(B493="","",IFERROR(INDEX('Mug Marks'!$A$5:$A$204,MATCH(B493,'Mug Marks'!$B$5:$B$204,0)),"(not on Mug Marks)"))</f>
        <v/>
      </c>
      <c r="D493" s="6"/>
      <c r="E493" s="4"/>
      <c r="F493" s="4"/>
      <c r="G493" s="8" t="str">
        <f aca="false">IF(A493="","",A493+Settings!$B$6/24)</f>
        <v/>
      </c>
    </row>
    <row r="494" customFormat="false" ht="15" hidden="false" customHeight="false" outlineLevel="0" collapsed="false">
      <c r="A494" s="14"/>
      <c r="B494" s="5"/>
      <c r="C494" s="15" t="str">
        <f aca="false">IF(B494="","",IFERROR(INDEX('Mug Marks'!$A$5:$A$204,MATCH(B494,'Mug Marks'!$B$5:$B$204,0)),"(not on Mug Marks)"))</f>
        <v/>
      </c>
      <c r="D494" s="6"/>
      <c r="E494" s="4"/>
      <c r="F494" s="4"/>
      <c r="G494" s="8" t="str">
        <f aca="false">IF(A494="","",A494+Settings!$B$6/24)</f>
        <v/>
      </c>
    </row>
    <row r="495" customFormat="false" ht="15" hidden="false" customHeight="false" outlineLevel="0" collapsed="false">
      <c r="A495" s="14"/>
      <c r="B495" s="5"/>
      <c r="C495" s="15" t="str">
        <f aca="false">IF(B495="","",IFERROR(INDEX('Mug Marks'!$A$5:$A$204,MATCH(B495,'Mug Marks'!$B$5:$B$204,0)),"(not on Mug Marks)"))</f>
        <v/>
      </c>
      <c r="D495" s="6"/>
      <c r="E495" s="4"/>
      <c r="F495" s="4"/>
      <c r="G495" s="8" t="str">
        <f aca="false">IF(A495="","",A495+Settings!$B$6/24)</f>
        <v/>
      </c>
    </row>
    <row r="496" customFormat="false" ht="15" hidden="false" customHeight="false" outlineLevel="0" collapsed="false">
      <c r="A496" s="14"/>
      <c r="B496" s="5"/>
      <c r="C496" s="15" t="str">
        <f aca="false">IF(B496="","",IFERROR(INDEX('Mug Marks'!$A$5:$A$204,MATCH(B496,'Mug Marks'!$B$5:$B$204,0)),"(not on Mug Marks)"))</f>
        <v/>
      </c>
      <c r="D496" s="6"/>
      <c r="E496" s="4"/>
      <c r="F496" s="4"/>
      <c r="G496" s="8" t="str">
        <f aca="false">IF(A496="","",A496+Settings!$B$6/24)</f>
        <v/>
      </c>
    </row>
    <row r="497" customFormat="false" ht="15" hidden="false" customHeight="false" outlineLevel="0" collapsed="false">
      <c r="A497" s="14"/>
      <c r="B497" s="5"/>
      <c r="C497" s="15" t="str">
        <f aca="false">IF(B497="","",IFERROR(INDEX('Mug Marks'!$A$5:$A$204,MATCH(B497,'Mug Marks'!$B$5:$B$204,0)),"(not on Mug Marks)"))</f>
        <v/>
      </c>
      <c r="D497" s="6"/>
      <c r="E497" s="4"/>
      <c r="F497" s="4"/>
      <c r="G497" s="8" t="str">
        <f aca="false">IF(A497="","",A497+Settings!$B$6/24)</f>
        <v/>
      </c>
    </row>
    <row r="498" customFormat="false" ht="15" hidden="false" customHeight="false" outlineLevel="0" collapsed="false">
      <c r="A498" s="14"/>
      <c r="B498" s="5"/>
      <c r="C498" s="15" t="str">
        <f aca="false">IF(B498="","",IFERROR(INDEX('Mug Marks'!$A$5:$A$204,MATCH(B498,'Mug Marks'!$B$5:$B$204,0)),"(not on Mug Marks)"))</f>
        <v/>
      </c>
      <c r="D498" s="6"/>
      <c r="E498" s="4"/>
      <c r="F498" s="4"/>
      <c r="G498" s="8" t="str">
        <f aca="false">IF(A498="","",A498+Settings!$B$6/24)</f>
        <v/>
      </c>
    </row>
    <row r="499" customFormat="false" ht="15" hidden="false" customHeight="false" outlineLevel="0" collapsed="false">
      <c r="A499" s="14"/>
      <c r="B499" s="5"/>
      <c r="C499" s="15" t="str">
        <f aca="false">IF(B499="","",IFERROR(INDEX('Mug Marks'!$A$5:$A$204,MATCH(B499,'Mug Marks'!$B$5:$B$204,0)),"(not on Mug Marks)"))</f>
        <v/>
      </c>
      <c r="D499" s="6"/>
      <c r="E499" s="4"/>
      <c r="F499" s="4"/>
      <c r="G499" s="8" t="str">
        <f aca="false">IF(A499="","",A499+Settings!$B$6/24)</f>
        <v/>
      </c>
    </row>
    <row r="500" customFormat="false" ht="15" hidden="false" customHeight="false" outlineLevel="0" collapsed="false">
      <c r="A500" s="14"/>
      <c r="B500" s="5"/>
      <c r="C500" s="15" t="str">
        <f aca="false">IF(B500="","",IFERROR(INDEX('Mug Marks'!$A$5:$A$204,MATCH(B500,'Mug Marks'!$B$5:$B$204,0)),"(not on Mug Marks)"))</f>
        <v/>
      </c>
      <c r="D500" s="6"/>
      <c r="E500" s="4"/>
      <c r="F500" s="4"/>
      <c r="G500" s="8" t="str">
        <f aca="false">IF(A500="","",A500+Settings!$B$6/24)</f>
        <v/>
      </c>
    </row>
    <row r="501" customFormat="false" ht="15" hidden="false" customHeight="false" outlineLevel="0" collapsed="false">
      <c r="A501" s="14"/>
      <c r="B501" s="5"/>
      <c r="C501" s="15" t="str">
        <f aca="false">IF(B501="","",IFERROR(INDEX('Mug Marks'!$A$5:$A$204,MATCH(B501,'Mug Marks'!$B$5:$B$204,0)),"(not on Mug Marks)"))</f>
        <v/>
      </c>
      <c r="D501" s="6"/>
      <c r="E501" s="4"/>
      <c r="F501" s="4"/>
      <c r="G501" s="8" t="str">
        <f aca="false">IF(A501="","",A501+Settings!$B$6/24)</f>
        <v/>
      </c>
    </row>
    <row r="502" customFormat="false" ht="15" hidden="false" customHeight="false" outlineLevel="0" collapsed="false">
      <c r="A502" s="14"/>
      <c r="B502" s="5"/>
      <c r="C502" s="15" t="str">
        <f aca="false">IF(B502="","",IFERROR(INDEX('Mug Marks'!$A$5:$A$204,MATCH(B502,'Mug Marks'!$B$5:$B$204,0)),"(not on Mug Marks)"))</f>
        <v/>
      </c>
      <c r="D502" s="6"/>
      <c r="E502" s="4"/>
      <c r="F502" s="4"/>
      <c r="G502" s="8" t="str">
        <f aca="false">IF(A502="","",A502+Settings!$B$6/24)</f>
        <v/>
      </c>
    </row>
    <row r="503" customFormat="false" ht="15" hidden="false" customHeight="false" outlineLevel="0" collapsed="false">
      <c r="A503" s="14"/>
      <c r="B503" s="5"/>
      <c r="C503" s="15" t="str">
        <f aca="false">IF(B503="","",IFERROR(INDEX('Mug Marks'!$A$5:$A$204,MATCH(B503,'Mug Marks'!$B$5:$B$204,0)),"(not on Mug Marks)"))</f>
        <v/>
      </c>
      <c r="D503" s="6"/>
      <c r="E503" s="4"/>
      <c r="F503" s="4"/>
      <c r="G503" s="8" t="str">
        <f aca="false">IF(A503="","",A503+Settings!$B$6/24)</f>
        <v/>
      </c>
    </row>
    <row r="504" customFormat="false" ht="15" hidden="false" customHeight="false" outlineLevel="0" collapsed="false">
      <c r="A504" s="14"/>
      <c r="B504" s="5"/>
      <c r="C504" s="15" t="str">
        <f aca="false">IF(B504="","",IFERROR(INDEX('Mug Marks'!$A$5:$A$204,MATCH(B504,'Mug Marks'!$B$5:$B$204,0)),"(not on Mug Marks)"))</f>
        <v/>
      </c>
      <c r="D504" s="6"/>
      <c r="E504" s="4"/>
      <c r="F504" s="4"/>
      <c r="G504" s="8" t="str">
        <f aca="false">IF(A504="","",A504+Settings!$B$6/24)</f>
        <v/>
      </c>
    </row>
    <row r="505" customFormat="false" ht="15" hidden="false" customHeight="false" outlineLevel="0" collapsed="false">
      <c r="A505" s="14"/>
      <c r="B505" s="5"/>
      <c r="C505" s="15" t="str">
        <f aca="false">IF(B505="","",IFERROR(INDEX('Mug Marks'!$A$5:$A$204,MATCH(B505,'Mug Marks'!$B$5:$B$204,0)),"(not on Mug Marks)"))</f>
        <v/>
      </c>
      <c r="D505" s="6"/>
      <c r="E505" s="4"/>
      <c r="F505" s="4"/>
      <c r="G505" s="8" t="str">
        <f aca="false">IF(A505="","",A505+Settings!$B$6/24)</f>
        <v/>
      </c>
    </row>
    <row r="506" customFormat="false" ht="15" hidden="false" customHeight="false" outlineLevel="0" collapsed="false">
      <c r="A506" s="14"/>
      <c r="B506" s="5"/>
      <c r="C506" s="15" t="str">
        <f aca="false">IF(B506="","",IFERROR(INDEX('Mug Marks'!$A$5:$A$204,MATCH(B506,'Mug Marks'!$B$5:$B$204,0)),"(not on Mug Marks)"))</f>
        <v/>
      </c>
      <c r="D506" s="6"/>
      <c r="E506" s="4"/>
      <c r="F506" s="4"/>
      <c r="G506" s="8" t="str">
        <f aca="false">IF(A506="","",A506+Settings!$B$6/24)</f>
        <v/>
      </c>
    </row>
    <row r="507" customFormat="false" ht="15" hidden="false" customHeight="false" outlineLevel="0" collapsed="false">
      <c r="A507" s="14"/>
      <c r="B507" s="5"/>
      <c r="C507" s="15" t="str">
        <f aca="false">IF(B507="","",IFERROR(INDEX('Mug Marks'!$A$5:$A$204,MATCH(B507,'Mug Marks'!$B$5:$B$204,0)),"(not on Mug Marks)"))</f>
        <v/>
      </c>
      <c r="D507" s="6"/>
      <c r="E507" s="4"/>
      <c r="F507" s="4"/>
      <c r="G507" s="8" t="str">
        <f aca="false">IF(A507="","",A507+Settings!$B$6/24)</f>
        <v/>
      </c>
    </row>
    <row r="508" customFormat="false" ht="15" hidden="false" customHeight="false" outlineLevel="0" collapsed="false">
      <c r="A508" s="14"/>
      <c r="B508" s="5"/>
      <c r="C508" s="15" t="str">
        <f aca="false">IF(B508="","",IFERROR(INDEX('Mug Marks'!$A$5:$A$204,MATCH(B508,'Mug Marks'!$B$5:$B$204,0)),"(not on Mug Marks)"))</f>
        <v/>
      </c>
      <c r="D508" s="6"/>
      <c r="E508" s="4"/>
      <c r="F508" s="4"/>
      <c r="G508" s="8" t="str">
        <f aca="false">IF(A508="","",A508+Settings!$B$6/24)</f>
        <v/>
      </c>
    </row>
    <row r="509" customFormat="false" ht="15" hidden="false" customHeight="false" outlineLevel="0" collapsed="false">
      <c r="A509" s="14"/>
      <c r="B509" s="5"/>
      <c r="C509" s="15" t="str">
        <f aca="false">IF(B509="","",IFERROR(INDEX('Mug Marks'!$A$5:$A$204,MATCH(B509,'Mug Marks'!$B$5:$B$204,0)),"(not on Mug Marks)"))</f>
        <v/>
      </c>
      <c r="D509" s="6"/>
      <c r="E509" s="4"/>
      <c r="F509" s="4"/>
      <c r="G509" s="8" t="str">
        <f aca="false">IF(A509="","",A509+Settings!$B$6/24)</f>
        <v/>
      </c>
    </row>
    <row r="510" customFormat="false" ht="15" hidden="false" customHeight="false" outlineLevel="0" collapsed="false">
      <c r="A510" s="14"/>
      <c r="B510" s="5"/>
      <c r="C510" s="15" t="str">
        <f aca="false">IF(B510="","",IFERROR(INDEX('Mug Marks'!$A$5:$A$204,MATCH(B510,'Mug Marks'!$B$5:$B$204,0)),"(not on Mug Marks)"))</f>
        <v/>
      </c>
      <c r="D510" s="6"/>
      <c r="E510" s="4"/>
      <c r="F510" s="4"/>
      <c r="G510" s="8" t="str">
        <f aca="false">IF(A510="","",A510+Settings!$B$6/24)</f>
        <v/>
      </c>
    </row>
    <row r="511" customFormat="false" ht="15" hidden="false" customHeight="false" outlineLevel="0" collapsed="false">
      <c r="A511" s="14"/>
      <c r="B511" s="5"/>
      <c r="C511" s="15" t="str">
        <f aca="false">IF(B511="","",IFERROR(INDEX('Mug Marks'!$A$5:$A$204,MATCH(B511,'Mug Marks'!$B$5:$B$204,0)),"(not on Mug Marks)"))</f>
        <v/>
      </c>
      <c r="D511" s="6"/>
      <c r="E511" s="4"/>
      <c r="F511" s="4"/>
      <c r="G511" s="8" t="str">
        <f aca="false">IF(A511="","",A511+Settings!$B$6/24)</f>
        <v/>
      </c>
    </row>
    <row r="512" customFormat="false" ht="15" hidden="false" customHeight="false" outlineLevel="0" collapsed="false">
      <c r="A512" s="14"/>
      <c r="B512" s="5"/>
      <c r="C512" s="15" t="str">
        <f aca="false">IF(B512="","",IFERROR(INDEX('Mug Marks'!$A$5:$A$204,MATCH(B512,'Mug Marks'!$B$5:$B$204,0)),"(not on Mug Marks)"))</f>
        <v/>
      </c>
      <c r="D512" s="6"/>
      <c r="E512" s="4"/>
      <c r="F512" s="4"/>
      <c r="G512" s="8" t="str">
        <f aca="false">IF(A512="","",A512+Settings!$B$6/24)</f>
        <v/>
      </c>
    </row>
    <row r="513" customFormat="false" ht="15" hidden="false" customHeight="false" outlineLevel="0" collapsed="false">
      <c r="A513" s="14"/>
      <c r="B513" s="5"/>
      <c r="C513" s="15" t="str">
        <f aca="false">IF(B513="","",IFERROR(INDEX('Mug Marks'!$A$5:$A$204,MATCH(B513,'Mug Marks'!$B$5:$B$204,0)),"(not on Mug Marks)"))</f>
        <v/>
      </c>
      <c r="D513" s="6"/>
      <c r="E513" s="4"/>
      <c r="F513" s="4"/>
      <c r="G513" s="8" t="str">
        <f aca="false">IF(A513="","",A513+Settings!$B$6/24)</f>
        <v/>
      </c>
    </row>
    <row r="514" customFormat="false" ht="15" hidden="false" customHeight="false" outlineLevel="0" collapsed="false">
      <c r="A514" s="14"/>
      <c r="B514" s="5"/>
      <c r="C514" s="15" t="str">
        <f aca="false">IF(B514="","",IFERROR(INDEX('Mug Marks'!$A$5:$A$204,MATCH(B514,'Mug Marks'!$B$5:$B$204,0)),"(not on Mug Marks)"))</f>
        <v/>
      </c>
      <c r="D514" s="6"/>
      <c r="E514" s="4"/>
      <c r="F514" s="4"/>
      <c r="G514" s="8" t="str">
        <f aca="false">IF(A514="","",A514+Settings!$B$6/24)</f>
        <v/>
      </c>
    </row>
    <row r="515" customFormat="false" ht="15" hidden="false" customHeight="false" outlineLevel="0" collapsed="false">
      <c r="A515" s="14"/>
      <c r="B515" s="5"/>
      <c r="C515" s="15" t="str">
        <f aca="false">IF(B515="","",IFERROR(INDEX('Mug Marks'!$A$5:$A$204,MATCH(B515,'Mug Marks'!$B$5:$B$204,0)),"(not on Mug Marks)"))</f>
        <v/>
      </c>
      <c r="D515" s="6"/>
      <c r="E515" s="4"/>
      <c r="F515" s="4"/>
      <c r="G515" s="8" t="str">
        <f aca="false">IF(A515="","",A515+Settings!$B$6/24)</f>
        <v/>
      </c>
    </row>
    <row r="516" customFormat="false" ht="15" hidden="false" customHeight="false" outlineLevel="0" collapsed="false">
      <c r="A516" s="14"/>
      <c r="B516" s="5"/>
      <c r="C516" s="15" t="str">
        <f aca="false">IF(B516="","",IFERROR(INDEX('Mug Marks'!$A$5:$A$204,MATCH(B516,'Mug Marks'!$B$5:$B$204,0)),"(not on Mug Marks)"))</f>
        <v/>
      </c>
      <c r="D516" s="6"/>
      <c r="E516" s="4"/>
      <c r="F516" s="4"/>
      <c r="G516" s="8" t="str">
        <f aca="false">IF(A516="","",A516+Settings!$B$6/24)</f>
        <v/>
      </c>
    </row>
    <row r="517" customFormat="false" ht="15" hidden="false" customHeight="false" outlineLevel="0" collapsed="false">
      <c r="A517" s="14"/>
      <c r="B517" s="5"/>
      <c r="C517" s="15" t="str">
        <f aca="false">IF(B517="","",IFERROR(INDEX('Mug Marks'!$A$5:$A$204,MATCH(B517,'Mug Marks'!$B$5:$B$204,0)),"(not on Mug Marks)"))</f>
        <v/>
      </c>
      <c r="D517" s="6"/>
      <c r="E517" s="4"/>
      <c r="F517" s="4"/>
      <c r="G517" s="8" t="str">
        <f aca="false">IF(A517="","",A517+Settings!$B$6/24)</f>
        <v/>
      </c>
    </row>
    <row r="518" customFormat="false" ht="15" hidden="false" customHeight="false" outlineLevel="0" collapsed="false">
      <c r="A518" s="14"/>
      <c r="B518" s="5"/>
      <c r="C518" s="15" t="str">
        <f aca="false">IF(B518="","",IFERROR(INDEX('Mug Marks'!$A$5:$A$204,MATCH(B518,'Mug Marks'!$B$5:$B$204,0)),"(not on Mug Marks)"))</f>
        <v/>
      </c>
      <c r="D518" s="6"/>
      <c r="E518" s="4"/>
      <c r="F518" s="4"/>
      <c r="G518" s="8" t="str">
        <f aca="false">IF(A518="","",A518+Settings!$B$6/24)</f>
        <v/>
      </c>
    </row>
    <row r="519" customFormat="false" ht="15" hidden="false" customHeight="false" outlineLevel="0" collapsed="false">
      <c r="A519" s="14"/>
      <c r="B519" s="5"/>
      <c r="C519" s="15" t="str">
        <f aca="false">IF(B519="","",IFERROR(INDEX('Mug Marks'!$A$5:$A$204,MATCH(B519,'Mug Marks'!$B$5:$B$204,0)),"(not on Mug Marks)"))</f>
        <v/>
      </c>
      <c r="D519" s="6"/>
      <c r="E519" s="4"/>
      <c r="F519" s="4"/>
      <c r="G519" s="8" t="str">
        <f aca="false">IF(A519="","",A519+Settings!$B$6/24)</f>
        <v/>
      </c>
    </row>
    <row r="520" customFormat="false" ht="15" hidden="false" customHeight="false" outlineLevel="0" collapsed="false">
      <c r="A520" s="14"/>
      <c r="B520" s="5"/>
      <c r="C520" s="15" t="str">
        <f aca="false">IF(B520="","",IFERROR(INDEX('Mug Marks'!$A$5:$A$204,MATCH(B520,'Mug Marks'!$B$5:$B$204,0)),"(not on Mug Marks)"))</f>
        <v/>
      </c>
      <c r="D520" s="6"/>
      <c r="E520" s="4"/>
      <c r="F520" s="4"/>
      <c r="G520" s="8" t="str">
        <f aca="false">IF(A520="","",A520+Settings!$B$6/24)</f>
        <v/>
      </c>
    </row>
    <row r="521" customFormat="false" ht="15" hidden="false" customHeight="false" outlineLevel="0" collapsed="false">
      <c r="A521" s="14"/>
      <c r="B521" s="5"/>
      <c r="C521" s="15" t="str">
        <f aca="false">IF(B521="","",IFERROR(INDEX('Mug Marks'!$A$5:$A$204,MATCH(B521,'Mug Marks'!$B$5:$B$204,0)),"(not on Mug Marks)"))</f>
        <v/>
      </c>
      <c r="D521" s="6"/>
      <c r="E521" s="4"/>
      <c r="F521" s="4"/>
      <c r="G521" s="8" t="str">
        <f aca="false">IF(A521="","",A521+Settings!$B$6/24)</f>
        <v/>
      </c>
    </row>
    <row r="522" customFormat="false" ht="15" hidden="false" customHeight="false" outlineLevel="0" collapsed="false">
      <c r="A522" s="14"/>
      <c r="B522" s="5"/>
      <c r="C522" s="15" t="str">
        <f aca="false">IF(B522="","",IFERROR(INDEX('Mug Marks'!$A$5:$A$204,MATCH(B522,'Mug Marks'!$B$5:$B$204,0)),"(not on Mug Marks)"))</f>
        <v/>
      </c>
      <c r="D522" s="6"/>
      <c r="E522" s="4"/>
      <c r="F522" s="4"/>
      <c r="G522" s="8" t="str">
        <f aca="false">IF(A522="","",A522+Settings!$B$6/24)</f>
        <v/>
      </c>
    </row>
    <row r="523" customFormat="false" ht="15" hidden="false" customHeight="false" outlineLevel="0" collapsed="false">
      <c r="A523" s="14"/>
      <c r="B523" s="5"/>
      <c r="C523" s="15" t="str">
        <f aca="false">IF(B523="","",IFERROR(INDEX('Mug Marks'!$A$5:$A$204,MATCH(B523,'Mug Marks'!$B$5:$B$204,0)),"(not on Mug Marks)"))</f>
        <v/>
      </c>
      <c r="D523" s="6"/>
      <c r="E523" s="4"/>
      <c r="F523" s="4"/>
      <c r="G523" s="8" t="str">
        <f aca="false">IF(A523="","",A523+Settings!$B$6/24)</f>
        <v/>
      </c>
    </row>
    <row r="524" customFormat="false" ht="15" hidden="false" customHeight="false" outlineLevel="0" collapsed="false">
      <c r="A524" s="14"/>
      <c r="B524" s="5"/>
      <c r="C524" s="15" t="str">
        <f aca="false">IF(B524="","",IFERROR(INDEX('Mug Marks'!$A$5:$A$204,MATCH(B524,'Mug Marks'!$B$5:$B$204,0)),"(not on Mug Marks)"))</f>
        <v/>
      </c>
      <c r="D524" s="6"/>
      <c r="E524" s="4"/>
      <c r="F524" s="4"/>
      <c r="G524" s="8" t="str">
        <f aca="false">IF(A524="","",A524+Settings!$B$6/24)</f>
        <v/>
      </c>
    </row>
    <row r="525" customFormat="false" ht="15" hidden="false" customHeight="false" outlineLevel="0" collapsed="false">
      <c r="A525" s="14"/>
      <c r="B525" s="5"/>
      <c r="C525" s="15" t="str">
        <f aca="false">IF(B525="","",IFERROR(INDEX('Mug Marks'!$A$5:$A$204,MATCH(B525,'Mug Marks'!$B$5:$B$204,0)),"(not on Mug Marks)"))</f>
        <v/>
      </c>
      <c r="D525" s="6"/>
      <c r="E525" s="4"/>
      <c r="F525" s="4"/>
      <c r="G525" s="8" t="str">
        <f aca="false">IF(A525="","",A525+Settings!$B$6/24)</f>
        <v/>
      </c>
    </row>
    <row r="526" customFormat="false" ht="15" hidden="false" customHeight="false" outlineLevel="0" collapsed="false">
      <c r="A526" s="14"/>
      <c r="B526" s="5"/>
      <c r="C526" s="15" t="str">
        <f aca="false">IF(B526="","",IFERROR(INDEX('Mug Marks'!$A$5:$A$204,MATCH(B526,'Mug Marks'!$B$5:$B$204,0)),"(not on Mug Marks)"))</f>
        <v/>
      </c>
      <c r="D526" s="6"/>
      <c r="E526" s="4"/>
      <c r="F526" s="4"/>
      <c r="G526" s="8" t="str">
        <f aca="false">IF(A526="","",A526+Settings!$B$6/24)</f>
        <v/>
      </c>
    </row>
    <row r="527" customFormat="false" ht="15" hidden="false" customHeight="false" outlineLevel="0" collapsed="false">
      <c r="A527" s="14"/>
      <c r="B527" s="5"/>
      <c r="C527" s="15" t="str">
        <f aca="false">IF(B527="","",IFERROR(INDEX('Mug Marks'!$A$5:$A$204,MATCH(B527,'Mug Marks'!$B$5:$B$204,0)),"(not on Mug Marks)"))</f>
        <v/>
      </c>
      <c r="D527" s="6"/>
      <c r="E527" s="4"/>
      <c r="F527" s="4"/>
      <c r="G527" s="8" t="str">
        <f aca="false">IF(A527="","",A527+Settings!$B$6/24)</f>
        <v/>
      </c>
    </row>
    <row r="528" customFormat="false" ht="15" hidden="false" customHeight="false" outlineLevel="0" collapsed="false">
      <c r="A528" s="14"/>
      <c r="B528" s="5"/>
      <c r="C528" s="15" t="str">
        <f aca="false">IF(B528="","",IFERROR(INDEX('Mug Marks'!$A$5:$A$204,MATCH(B528,'Mug Marks'!$B$5:$B$204,0)),"(not on Mug Marks)"))</f>
        <v/>
      </c>
      <c r="D528" s="6"/>
      <c r="E528" s="4"/>
      <c r="F528" s="4"/>
      <c r="G528" s="8" t="str">
        <f aca="false">IF(A528="","",A528+Settings!$B$6/24)</f>
        <v/>
      </c>
    </row>
    <row r="529" customFormat="false" ht="15" hidden="false" customHeight="false" outlineLevel="0" collapsed="false">
      <c r="A529" s="14"/>
      <c r="B529" s="5"/>
      <c r="C529" s="15" t="str">
        <f aca="false">IF(B529="","",IFERROR(INDEX('Mug Marks'!$A$5:$A$204,MATCH(B529,'Mug Marks'!$B$5:$B$204,0)),"(not on Mug Marks)"))</f>
        <v/>
      </c>
      <c r="D529" s="6"/>
      <c r="E529" s="4"/>
      <c r="F529" s="4"/>
      <c r="G529" s="8" t="str">
        <f aca="false">IF(A529="","",A529+Settings!$B$6/24)</f>
        <v/>
      </c>
    </row>
    <row r="530" customFormat="false" ht="15" hidden="false" customHeight="false" outlineLevel="0" collapsed="false">
      <c r="A530" s="14"/>
      <c r="B530" s="5"/>
      <c r="C530" s="15" t="str">
        <f aca="false">IF(B530="","",IFERROR(INDEX('Mug Marks'!$A$5:$A$204,MATCH(B530,'Mug Marks'!$B$5:$B$204,0)),"(not on Mug Marks)"))</f>
        <v/>
      </c>
      <c r="D530" s="6"/>
      <c r="E530" s="4"/>
      <c r="F530" s="4"/>
      <c r="G530" s="8" t="str">
        <f aca="false">IF(A530="","",A530+Settings!$B$6/24)</f>
        <v/>
      </c>
    </row>
    <row r="531" customFormat="false" ht="15" hidden="false" customHeight="false" outlineLevel="0" collapsed="false">
      <c r="A531" s="14"/>
      <c r="B531" s="5"/>
      <c r="C531" s="15" t="str">
        <f aca="false">IF(B531="","",IFERROR(INDEX('Mug Marks'!$A$5:$A$204,MATCH(B531,'Mug Marks'!$B$5:$B$204,0)),"(not on Mug Marks)"))</f>
        <v/>
      </c>
      <c r="D531" s="6"/>
      <c r="E531" s="4"/>
      <c r="F531" s="4"/>
      <c r="G531" s="8" t="str">
        <f aca="false">IF(A531="","",A531+Settings!$B$6/24)</f>
        <v/>
      </c>
    </row>
    <row r="532" customFormat="false" ht="15" hidden="false" customHeight="false" outlineLevel="0" collapsed="false">
      <c r="A532" s="14"/>
      <c r="B532" s="5"/>
      <c r="C532" s="15" t="str">
        <f aca="false">IF(B532="","",IFERROR(INDEX('Mug Marks'!$A$5:$A$204,MATCH(B532,'Mug Marks'!$B$5:$B$204,0)),"(not on Mug Marks)"))</f>
        <v/>
      </c>
      <c r="D532" s="6"/>
      <c r="E532" s="4"/>
      <c r="F532" s="4"/>
      <c r="G532" s="8" t="str">
        <f aca="false">IF(A532="","",A532+Settings!$B$6/24)</f>
        <v/>
      </c>
    </row>
    <row r="533" customFormat="false" ht="15" hidden="false" customHeight="false" outlineLevel="0" collapsed="false">
      <c r="A533" s="14"/>
      <c r="B533" s="5"/>
      <c r="C533" s="15" t="str">
        <f aca="false">IF(B533="","",IFERROR(INDEX('Mug Marks'!$A$5:$A$204,MATCH(B533,'Mug Marks'!$B$5:$B$204,0)),"(not on Mug Marks)"))</f>
        <v/>
      </c>
      <c r="D533" s="6"/>
      <c r="E533" s="4"/>
      <c r="F533" s="4"/>
      <c r="G533" s="8" t="str">
        <f aca="false">IF(A533="","",A533+Settings!$B$6/24)</f>
        <v/>
      </c>
    </row>
    <row r="534" customFormat="false" ht="15" hidden="false" customHeight="false" outlineLevel="0" collapsed="false">
      <c r="A534" s="14"/>
      <c r="B534" s="5"/>
      <c r="C534" s="15" t="str">
        <f aca="false">IF(B534="","",IFERROR(INDEX('Mug Marks'!$A$5:$A$204,MATCH(B534,'Mug Marks'!$B$5:$B$204,0)),"(not on Mug Marks)"))</f>
        <v/>
      </c>
      <c r="D534" s="6"/>
      <c r="E534" s="4"/>
      <c r="F534" s="4"/>
      <c r="G534" s="8" t="str">
        <f aca="false">IF(A534="","",A534+Settings!$B$6/24)</f>
        <v/>
      </c>
    </row>
    <row r="535" customFormat="false" ht="15" hidden="false" customHeight="false" outlineLevel="0" collapsed="false">
      <c r="A535" s="14"/>
      <c r="B535" s="5"/>
      <c r="C535" s="15" t="str">
        <f aca="false">IF(B535="","",IFERROR(INDEX('Mug Marks'!$A$5:$A$204,MATCH(B535,'Mug Marks'!$B$5:$B$204,0)),"(not on Mug Marks)"))</f>
        <v/>
      </c>
      <c r="D535" s="6"/>
      <c r="E535" s="4"/>
      <c r="F535" s="4"/>
      <c r="G535" s="8" t="str">
        <f aca="false">IF(A535="","",A535+Settings!$B$6/24)</f>
        <v/>
      </c>
    </row>
    <row r="536" customFormat="false" ht="15" hidden="false" customHeight="false" outlineLevel="0" collapsed="false">
      <c r="A536" s="14"/>
      <c r="B536" s="5"/>
      <c r="C536" s="15" t="str">
        <f aca="false">IF(B536="","",IFERROR(INDEX('Mug Marks'!$A$5:$A$204,MATCH(B536,'Mug Marks'!$B$5:$B$204,0)),"(not on Mug Marks)"))</f>
        <v/>
      </c>
      <c r="D536" s="6"/>
      <c r="E536" s="4"/>
      <c r="F536" s="4"/>
      <c r="G536" s="8" t="str">
        <f aca="false">IF(A536="","",A536+Settings!$B$6/24)</f>
        <v/>
      </c>
    </row>
    <row r="537" customFormat="false" ht="15" hidden="false" customHeight="false" outlineLevel="0" collapsed="false">
      <c r="A537" s="14"/>
      <c r="B537" s="5"/>
      <c r="C537" s="15" t="str">
        <f aca="false">IF(B537="","",IFERROR(INDEX('Mug Marks'!$A$5:$A$204,MATCH(B537,'Mug Marks'!$B$5:$B$204,0)),"(not on Mug Marks)"))</f>
        <v/>
      </c>
      <c r="D537" s="6"/>
      <c r="E537" s="4"/>
      <c r="F537" s="4"/>
      <c r="G537" s="8" t="str">
        <f aca="false">IF(A537="","",A537+Settings!$B$6/24)</f>
        <v/>
      </c>
    </row>
    <row r="538" customFormat="false" ht="15" hidden="false" customHeight="false" outlineLevel="0" collapsed="false">
      <c r="A538" s="14"/>
      <c r="B538" s="5"/>
      <c r="C538" s="15" t="str">
        <f aca="false">IF(B538="","",IFERROR(INDEX('Mug Marks'!$A$5:$A$204,MATCH(B538,'Mug Marks'!$B$5:$B$204,0)),"(not on Mug Marks)"))</f>
        <v/>
      </c>
      <c r="D538" s="6"/>
      <c r="E538" s="4"/>
      <c r="F538" s="4"/>
      <c r="G538" s="8" t="str">
        <f aca="false">IF(A538="","",A538+Settings!$B$6/24)</f>
        <v/>
      </c>
    </row>
    <row r="539" customFormat="false" ht="15" hidden="false" customHeight="false" outlineLevel="0" collapsed="false">
      <c r="A539" s="14"/>
      <c r="B539" s="5"/>
      <c r="C539" s="15" t="str">
        <f aca="false">IF(B539="","",IFERROR(INDEX('Mug Marks'!$A$5:$A$204,MATCH(B539,'Mug Marks'!$B$5:$B$204,0)),"(not on Mug Marks)"))</f>
        <v/>
      </c>
      <c r="D539" s="6"/>
      <c r="E539" s="4"/>
      <c r="F539" s="4"/>
      <c r="G539" s="8" t="str">
        <f aca="false">IF(A539="","",A539+Settings!$B$6/24)</f>
        <v/>
      </c>
    </row>
    <row r="540" customFormat="false" ht="15" hidden="false" customHeight="false" outlineLevel="0" collapsed="false">
      <c r="A540" s="14"/>
      <c r="B540" s="5"/>
      <c r="C540" s="15" t="str">
        <f aca="false">IF(B540="","",IFERROR(INDEX('Mug Marks'!$A$5:$A$204,MATCH(B540,'Mug Marks'!$B$5:$B$204,0)),"(not on Mug Marks)"))</f>
        <v/>
      </c>
      <c r="D540" s="6"/>
      <c r="E540" s="4"/>
      <c r="F540" s="4"/>
      <c r="G540" s="8" t="str">
        <f aca="false">IF(A540="","",A540+Settings!$B$6/24)</f>
        <v/>
      </c>
    </row>
    <row r="541" customFormat="false" ht="15" hidden="false" customHeight="false" outlineLevel="0" collapsed="false">
      <c r="A541" s="14"/>
      <c r="B541" s="5"/>
      <c r="C541" s="15" t="str">
        <f aca="false">IF(B541="","",IFERROR(INDEX('Mug Marks'!$A$5:$A$204,MATCH(B541,'Mug Marks'!$B$5:$B$204,0)),"(not on Mug Marks)"))</f>
        <v/>
      </c>
      <c r="D541" s="6"/>
      <c r="E541" s="4"/>
      <c r="F541" s="4"/>
      <c r="G541" s="8" t="str">
        <f aca="false">IF(A541="","",A541+Settings!$B$6/24)</f>
        <v/>
      </c>
    </row>
    <row r="542" customFormat="false" ht="15" hidden="false" customHeight="false" outlineLevel="0" collapsed="false">
      <c r="A542" s="14"/>
      <c r="B542" s="5"/>
      <c r="C542" s="15" t="str">
        <f aca="false">IF(B542="","",IFERROR(INDEX('Mug Marks'!$A$5:$A$204,MATCH(B542,'Mug Marks'!$B$5:$B$204,0)),"(not on Mug Marks)"))</f>
        <v/>
      </c>
      <c r="D542" s="6"/>
      <c r="E542" s="4"/>
      <c r="F542" s="4"/>
      <c r="G542" s="8" t="str">
        <f aca="false">IF(A542="","",A542+Settings!$B$6/24)</f>
        <v/>
      </c>
    </row>
    <row r="543" customFormat="false" ht="15" hidden="false" customHeight="false" outlineLevel="0" collapsed="false">
      <c r="A543" s="14"/>
      <c r="B543" s="5"/>
      <c r="C543" s="15" t="str">
        <f aca="false">IF(B543="","",IFERROR(INDEX('Mug Marks'!$A$5:$A$204,MATCH(B543,'Mug Marks'!$B$5:$B$204,0)),"(not on Mug Marks)"))</f>
        <v/>
      </c>
      <c r="D543" s="6"/>
      <c r="E543" s="4"/>
      <c r="F543" s="4"/>
      <c r="G543" s="8" t="str">
        <f aca="false">IF(A543="","",A543+Settings!$B$6/24)</f>
        <v/>
      </c>
    </row>
    <row r="544" customFormat="false" ht="15" hidden="false" customHeight="false" outlineLevel="0" collapsed="false">
      <c r="A544" s="14"/>
      <c r="B544" s="5"/>
      <c r="C544" s="15" t="str">
        <f aca="false">IF(B544="","",IFERROR(INDEX('Mug Marks'!$A$5:$A$204,MATCH(B544,'Mug Marks'!$B$5:$B$204,0)),"(not on Mug Marks)"))</f>
        <v/>
      </c>
      <c r="D544" s="6"/>
      <c r="E544" s="4"/>
      <c r="F544" s="4"/>
      <c r="G544" s="8" t="str">
        <f aca="false">IF(A544="","",A544+Settings!$B$6/24)</f>
        <v/>
      </c>
    </row>
    <row r="545" customFormat="false" ht="15" hidden="false" customHeight="false" outlineLevel="0" collapsed="false">
      <c r="A545" s="14"/>
      <c r="B545" s="5"/>
      <c r="C545" s="15" t="str">
        <f aca="false">IF(B545="","",IFERROR(INDEX('Mug Marks'!$A$5:$A$204,MATCH(B545,'Mug Marks'!$B$5:$B$204,0)),"(not on Mug Marks)"))</f>
        <v/>
      </c>
      <c r="D545" s="6"/>
      <c r="E545" s="4"/>
      <c r="F545" s="4"/>
      <c r="G545" s="8" t="str">
        <f aca="false">IF(A545="","",A545+Settings!$B$6/24)</f>
        <v/>
      </c>
    </row>
    <row r="546" customFormat="false" ht="15" hidden="false" customHeight="false" outlineLevel="0" collapsed="false">
      <c r="A546" s="14"/>
      <c r="B546" s="5"/>
      <c r="C546" s="15" t="str">
        <f aca="false">IF(B546="","",IFERROR(INDEX('Mug Marks'!$A$5:$A$204,MATCH(B546,'Mug Marks'!$B$5:$B$204,0)),"(not on Mug Marks)"))</f>
        <v/>
      </c>
      <c r="D546" s="6"/>
      <c r="E546" s="4"/>
      <c r="F546" s="4"/>
      <c r="G546" s="8" t="str">
        <f aca="false">IF(A546="","",A546+Settings!$B$6/24)</f>
        <v/>
      </c>
    </row>
    <row r="547" customFormat="false" ht="15" hidden="false" customHeight="false" outlineLevel="0" collapsed="false">
      <c r="A547" s="14"/>
      <c r="B547" s="5"/>
      <c r="C547" s="15" t="str">
        <f aca="false">IF(B547="","",IFERROR(INDEX('Mug Marks'!$A$5:$A$204,MATCH(B547,'Mug Marks'!$B$5:$B$204,0)),"(not on Mug Marks)"))</f>
        <v/>
      </c>
      <c r="D547" s="6"/>
      <c r="E547" s="4"/>
      <c r="F547" s="4"/>
      <c r="G547" s="8" t="str">
        <f aca="false">IF(A547="","",A547+Settings!$B$6/24)</f>
        <v/>
      </c>
    </row>
    <row r="548" customFormat="false" ht="15" hidden="false" customHeight="false" outlineLevel="0" collapsed="false">
      <c r="A548" s="14"/>
      <c r="B548" s="5"/>
      <c r="C548" s="15" t="str">
        <f aca="false">IF(B548="","",IFERROR(INDEX('Mug Marks'!$A$5:$A$204,MATCH(B548,'Mug Marks'!$B$5:$B$204,0)),"(not on Mug Marks)"))</f>
        <v/>
      </c>
      <c r="D548" s="6"/>
      <c r="E548" s="4"/>
      <c r="F548" s="4"/>
      <c r="G548" s="8" t="str">
        <f aca="false">IF(A548="","",A548+Settings!$B$6/24)</f>
        <v/>
      </c>
    </row>
    <row r="549" customFormat="false" ht="15" hidden="false" customHeight="false" outlineLevel="0" collapsed="false">
      <c r="A549" s="14"/>
      <c r="B549" s="5"/>
      <c r="C549" s="15" t="str">
        <f aca="false">IF(B549="","",IFERROR(INDEX('Mug Marks'!$A$5:$A$204,MATCH(B549,'Mug Marks'!$B$5:$B$204,0)),"(not on Mug Marks)"))</f>
        <v/>
      </c>
      <c r="D549" s="6"/>
      <c r="E549" s="4"/>
      <c r="F549" s="4"/>
      <c r="G549" s="8" t="str">
        <f aca="false">IF(A549="","",A549+Settings!$B$6/24)</f>
        <v/>
      </c>
    </row>
    <row r="550" customFormat="false" ht="15" hidden="false" customHeight="false" outlineLevel="0" collapsed="false">
      <c r="A550" s="14"/>
      <c r="B550" s="5"/>
      <c r="C550" s="15" t="str">
        <f aca="false">IF(B550="","",IFERROR(INDEX('Mug Marks'!$A$5:$A$204,MATCH(B550,'Mug Marks'!$B$5:$B$204,0)),"(not on Mug Marks)"))</f>
        <v/>
      </c>
      <c r="D550" s="6"/>
      <c r="E550" s="4"/>
      <c r="F550" s="4"/>
      <c r="G550" s="8" t="str">
        <f aca="false">IF(A550="","",A550+Settings!$B$6/24)</f>
        <v/>
      </c>
    </row>
    <row r="551" customFormat="false" ht="15" hidden="false" customHeight="false" outlineLevel="0" collapsed="false">
      <c r="A551" s="14"/>
      <c r="B551" s="5"/>
      <c r="C551" s="15" t="str">
        <f aca="false">IF(B551="","",IFERROR(INDEX('Mug Marks'!$A$5:$A$204,MATCH(B551,'Mug Marks'!$B$5:$B$204,0)),"(not on Mug Marks)"))</f>
        <v/>
      </c>
      <c r="D551" s="6"/>
      <c r="E551" s="4"/>
      <c r="F551" s="4"/>
      <c r="G551" s="8" t="str">
        <f aca="false">IF(A551="","",A551+Settings!$B$6/24)</f>
        <v/>
      </c>
    </row>
    <row r="552" customFormat="false" ht="15" hidden="false" customHeight="false" outlineLevel="0" collapsed="false">
      <c r="A552" s="14"/>
      <c r="B552" s="5"/>
      <c r="C552" s="15" t="str">
        <f aca="false">IF(B552="","",IFERROR(INDEX('Mug Marks'!$A$5:$A$204,MATCH(B552,'Mug Marks'!$B$5:$B$204,0)),"(not on Mug Marks)"))</f>
        <v/>
      </c>
      <c r="D552" s="6"/>
      <c r="E552" s="4"/>
      <c r="F552" s="4"/>
      <c r="G552" s="8" t="str">
        <f aca="false">IF(A552="","",A552+Settings!$B$6/24)</f>
        <v/>
      </c>
    </row>
    <row r="553" customFormat="false" ht="15" hidden="false" customHeight="false" outlineLevel="0" collapsed="false">
      <c r="A553" s="14"/>
      <c r="B553" s="5"/>
      <c r="C553" s="15" t="str">
        <f aca="false">IF(B553="","",IFERROR(INDEX('Mug Marks'!$A$5:$A$204,MATCH(B553,'Mug Marks'!$B$5:$B$204,0)),"(not on Mug Marks)"))</f>
        <v/>
      </c>
      <c r="D553" s="6"/>
      <c r="E553" s="4"/>
      <c r="F553" s="4"/>
      <c r="G553" s="8" t="str">
        <f aca="false">IF(A553="","",A553+Settings!$B$6/24)</f>
        <v/>
      </c>
    </row>
    <row r="554" customFormat="false" ht="15" hidden="false" customHeight="false" outlineLevel="0" collapsed="false">
      <c r="A554" s="14"/>
      <c r="B554" s="5"/>
      <c r="C554" s="15" t="str">
        <f aca="false">IF(B554="","",IFERROR(INDEX('Mug Marks'!$A$5:$A$204,MATCH(B554,'Mug Marks'!$B$5:$B$204,0)),"(not on Mug Marks)"))</f>
        <v/>
      </c>
      <c r="D554" s="6"/>
      <c r="E554" s="4"/>
      <c r="F554" s="4"/>
      <c r="G554" s="8" t="str">
        <f aca="false">IF(A554="","",A554+Settings!$B$6/24)</f>
        <v/>
      </c>
    </row>
    <row r="555" customFormat="false" ht="15" hidden="false" customHeight="false" outlineLevel="0" collapsed="false">
      <c r="A555" s="14"/>
      <c r="B555" s="5"/>
      <c r="C555" s="15" t="str">
        <f aca="false">IF(B555="","",IFERROR(INDEX('Mug Marks'!$A$5:$A$204,MATCH(B555,'Mug Marks'!$B$5:$B$204,0)),"(not on Mug Marks)"))</f>
        <v/>
      </c>
      <c r="D555" s="6"/>
      <c r="E555" s="4"/>
      <c r="F555" s="4"/>
      <c r="G555" s="8" t="str">
        <f aca="false">IF(A555="","",A555+Settings!$B$6/24)</f>
        <v/>
      </c>
    </row>
    <row r="556" customFormat="false" ht="15" hidden="false" customHeight="false" outlineLevel="0" collapsed="false">
      <c r="A556" s="14"/>
      <c r="B556" s="5"/>
      <c r="C556" s="15" t="str">
        <f aca="false">IF(B556="","",IFERROR(INDEX('Mug Marks'!$A$5:$A$204,MATCH(B556,'Mug Marks'!$B$5:$B$204,0)),"(not on Mug Marks)"))</f>
        <v/>
      </c>
      <c r="D556" s="6"/>
      <c r="E556" s="4"/>
      <c r="F556" s="4"/>
      <c r="G556" s="8" t="str">
        <f aca="false">IF(A556="","",A556+Settings!$B$6/24)</f>
        <v/>
      </c>
    </row>
    <row r="557" customFormat="false" ht="15" hidden="false" customHeight="false" outlineLevel="0" collapsed="false">
      <c r="A557" s="14"/>
      <c r="B557" s="5"/>
      <c r="C557" s="15" t="str">
        <f aca="false">IF(B557="","",IFERROR(INDEX('Mug Marks'!$A$5:$A$204,MATCH(B557,'Mug Marks'!$B$5:$B$204,0)),"(not on Mug Marks)"))</f>
        <v/>
      </c>
      <c r="D557" s="6"/>
      <c r="E557" s="4"/>
      <c r="F557" s="4"/>
      <c r="G557" s="8" t="str">
        <f aca="false">IF(A557="","",A557+Settings!$B$6/24)</f>
        <v/>
      </c>
    </row>
    <row r="558" customFormat="false" ht="15" hidden="false" customHeight="false" outlineLevel="0" collapsed="false">
      <c r="A558" s="14"/>
      <c r="B558" s="5"/>
      <c r="C558" s="15" t="str">
        <f aca="false">IF(B558="","",IFERROR(INDEX('Mug Marks'!$A$5:$A$204,MATCH(B558,'Mug Marks'!$B$5:$B$204,0)),"(not on Mug Marks)"))</f>
        <v/>
      </c>
      <c r="D558" s="6"/>
      <c r="E558" s="4"/>
      <c r="F558" s="4"/>
      <c r="G558" s="8" t="str">
        <f aca="false">IF(A558="","",A558+Settings!$B$6/24)</f>
        <v/>
      </c>
    </row>
    <row r="559" customFormat="false" ht="15" hidden="false" customHeight="false" outlineLevel="0" collapsed="false">
      <c r="A559" s="14"/>
      <c r="B559" s="5"/>
      <c r="C559" s="15" t="str">
        <f aca="false">IF(B559="","",IFERROR(INDEX('Mug Marks'!$A$5:$A$204,MATCH(B559,'Mug Marks'!$B$5:$B$204,0)),"(not on Mug Marks)"))</f>
        <v/>
      </c>
      <c r="D559" s="6"/>
      <c r="E559" s="4"/>
      <c r="F559" s="4"/>
      <c r="G559" s="8" t="str">
        <f aca="false">IF(A559="","",A559+Settings!$B$6/24)</f>
        <v/>
      </c>
    </row>
    <row r="560" customFormat="false" ht="15" hidden="false" customHeight="false" outlineLevel="0" collapsed="false">
      <c r="A560" s="14"/>
      <c r="B560" s="5"/>
      <c r="C560" s="15" t="str">
        <f aca="false">IF(B560="","",IFERROR(INDEX('Mug Marks'!$A$5:$A$204,MATCH(B560,'Mug Marks'!$B$5:$B$204,0)),"(not on Mug Marks)"))</f>
        <v/>
      </c>
      <c r="D560" s="6"/>
      <c r="E560" s="4"/>
      <c r="F560" s="4"/>
      <c r="G560" s="8" t="str">
        <f aca="false">IF(A560="","",A560+Settings!$B$6/24)</f>
        <v/>
      </c>
    </row>
    <row r="561" customFormat="false" ht="15" hidden="false" customHeight="false" outlineLevel="0" collapsed="false">
      <c r="A561" s="14"/>
      <c r="B561" s="5"/>
      <c r="C561" s="15" t="str">
        <f aca="false">IF(B561="","",IFERROR(INDEX('Mug Marks'!$A$5:$A$204,MATCH(B561,'Mug Marks'!$B$5:$B$204,0)),"(not on Mug Marks)"))</f>
        <v/>
      </c>
      <c r="D561" s="6"/>
      <c r="E561" s="4"/>
      <c r="F561" s="4"/>
      <c r="G561" s="8" t="str">
        <f aca="false">IF(A561="","",A561+Settings!$B$6/24)</f>
        <v/>
      </c>
    </row>
    <row r="562" customFormat="false" ht="15" hidden="false" customHeight="false" outlineLevel="0" collapsed="false">
      <c r="A562" s="14"/>
      <c r="B562" s="5"/>
      <c r="C562" s="15" t="str">
        <f aca="false">IF(B562="","",IFERROR(INDEX('Mug Marks'!$A$5:$A$204,MATCH(B562,'Mug Marks'!$B$5:$B$204,0)),"(not on Mug Marks)"))</f>
        <v/>
      </c>
      <c r="D562" s="6"/>
      <c r="E562" s="4"/>
      <c r="F562" s="4"/>
      <c r="G562" s="8" t="str">
        <f aca="false">IF(A562="","",A562+Settings!$B$6/24)</f>
        <v/>
      </c>
    </row>
    <row r="563" customFormat="false" ht="15" hidden="false" customHeight="false" outlineLevel="0" collapsed="false">
      <c r="A563" s="14"/>
      <c r="B563" s="5"/>
      <c r="C563" s="15" t="str">
        <f aca="false">IF(B563="","",IFERROR(INDEX('Mug Marks'!$A$5:$A$204,MATCH(B563,'Mug Marks'!$B$5:$B$204,0)),"(not on Mug Marks)"))</f>
        <v/>
      </c>
      <c r="D563" s="6"/>
      <c r="E563" s="4"/>
      <c r="F563" s="4"/>
      <c r="G563" s="8" t="str">
        <f aca="false">IF(A563="","",A563+Settings!$B$6/24)</f>
        <v/>
      </c>
    </row>
    <row r="564" customFormat="false" ht="15" hidden="false" customHeight="false" outlineLevel="0" collapsed="false">
      <c r="A564" s="14"/>
      <c r="B564" s="5"/>
      <c r="C564" s="15" t="str">
        <f aca="false">IF(B564="","",IFERROR(INDEX('Mug Marks'!$A$5:$A$204,MATCH(B564,'Mug Marks'!$B$5:$B$204,0)),"(not on Mug Marks)"))</f>
        <v/>
      </c>
      <c r="D564" s="6"/>
      <c r="E564" s="4"/>
      <c r="F564" s="4"/>
      <c r="G564" s="8" t="str">
        <f aca="false">IF(A564="","",A564+Settings!$B$6/24)</f>
        <v/>
      </c>
    </row>
    <row r="565" customFormat="false" ht="15" hidden="false" customHeight="false" outlineLevel="0" collapsed="false">
      <c r="A565" s="14"/>
      <c r="B565" s="5"/>
      <c r="C565" s="15" t="str">
        <f aca="false">IF(B565="","",IFERROR(INDEX('Mug Marks'!$A$5:$A$204,MATCH(B565,'Mug Marks'!$B$5:$B$204,0)),"(not on Mug Marks)"))</f>
        <v/>
      </c>
      <c r="D565" s="6"/>
      <c r="E565" s="4"/>
      <c r="F565" s="4"/>
      <c r="G565" s="8" t="str">
        <f aca="false">IF(A565="","",A565+Settings!$B$6/24)</f>
        <v/>
      </c>
    </row>
    <row r="566" customFormat="false" ht="15" hidden="false" customHeight="false" outlineLevel="0" collapsed="false">
      <c r="A566" s="14"/>
      <c r="B566" s="5"/>
      <c r="C566" s="15" t="str">
        <f aca="false">IF(B566="","",IFERROR(INDEX('Mug Marks'!$A$5:$A$204,MATCH(B566,'Mug Marks'!$B$5:$B$204,0)),"(not on Mug Marks)"))</f>
        <v/>
      </c>
      <c r="D566" s="6"/>
      <c r="E566" s="4"/>
      <c r="F566" s="4"/>
      <c r="G566" s="8" t="str">
        <f aca="false">IF(A566="","",A566+Settings!$B$6/24)</f>
        <v/>
      </c>
    </row>
    <row r="567" customFormat="false" ht="15" hidden="false" customHeight="false" outlineLevel="0" collapsed="false">
      <c r="A567" s="14"/>
      <c r="B567" s="5"/>
      <c r="C567" s="15" t="str">
        <f aca="false">IF(B567="","",IFERROR(INDEX('Mug Marks'!$A$5:$A$204,MATCH(B567,'Mug Marks'!$B$5:$B$204,0)),"(not on Mug Marks)"))</f>
        <v/>
      </c>
      <c r="D567" s="6"/>
      <c r="E567" s="4"/>
      <c r="F567" s="4"/>
      <c r="G567" s="8" t="str">
        <f aca="false">IF(A567="","",A567+Settings!$B$6/24)</f>
        <v/>
      </c>
    </row>
    <row r="568" customFormat="false" ht="15" hidden="false" customHeight="false" outlineLevel="0" collapsed="false">
      <c r="A568" s="14"/>
      <c r="B568" s="5"/>
      <c r="C568" s="15" t="str">
        <f aca="false">IF(B568="","",IFERROR(INDEX('Mug Marks'!$A$5:$A$204,MATCH(B568,'Mug Marks'!$B$5:$B$204,0)),"(not on Mug Marks)"))</f>
        <v/>
      </c>
      <c r="D568" s="6"/>
      <c r="E568" s="4"/>
      <c r="F568" s="4"/>
      <c r="G568" s="8" t="str">
        <f aca="false">IF(A568="","",A568+Settings!$B$6/24)</f>
        <v/>
      </c>
    </row>
    <row r="569" customFormat="false" ht="15" hidden="false" customHeight="false" outlineLevel="0" collapsed="false">
      <c r="A569" s="14"/>
      <c r="B569" s="5"/>
      <c r="C569" s="15" t="str">
        <f aca="false">IF(B569="","",IFERROR(INDEX('Mug Marks'!$A$5:$A$204,MATCH(B569,'Mug Marks'!$B$5:$B$204,0)),"(not on Mug Marks)"))</f>
        <v/>
      </c>
      <c r="D569" s="6"/>
      <c r="E569" s="4"/>
      <c r="F569" s="4"/>
      <c r="G569" s="8" t="str">
        <f aca="false">IF(A569="","",A569+Settings!$B$6/24)</f>
        <v/>
      </c>
    </row>
    <row r="570" customFormat="false" ht="15" hidden="false" customHeight="false" outlineLevel="0" collapsed="false">
      <c r="A570" s="14"/>
      <c r="B570" s="5"/>
      <c r="C570" s="15" t="str">
        <f aca="false">IF(B570="","",IFERROR(INDEX('Mug Marks'!$A$5:$A$204,MATCH(B570,'Mug Marks'!$B$5:$B$204,0)),"(not on Mug Marks)"))</f>
        <v/>
      </c>
      <c r="D570" s="6"/>
      <c r="E570" s="4"/>
      <c r="F570" s="4"/>
      <c r="G570" s="8" t="str">
        <f aca="false">IF(A570="","",A570+Settings!$B$6/24)</f>
        <v/>
      </c>
    </row>
    <row r="571" customFormat="false" ht="15" hidden="false" customHeight="false" outlineLevel="0" collapsed="false">
      <c r="A571" s="14"/>
      <c r="B571" s="5"/>
      <c r="C571" s="15" t="str">
        <f aca="false">IF(B571="","",IFERROR(INDEX('Mug Marks'!$A$5:$A$204,MATCH(B571,'Mug Marks'!$B$5:$B$204,0)),"(not on Mug Marks)"))</f>
        <v/>
      </c>
      <c r="D571" s="6"/>
      <c r="E571" s="4"/>
      <c r="F571" s="4"/>
      <c r="G571" s="8" t="str">
        <f aca="false">IF(A571="","",A571+Settings!$B$6/24)</f>
        <v/>
      </c>
    </row>
    <row r="572" customFormat="false" ht="15" hidden="false" customHeight="false" outlineLevel="0" collapsed="false">
      <c r="A572" s="14"/>
      <c r="B572" s="5"/>
      <c r="C572" s="15" t="str">
        <f aca="false">IF(B572="","",IFERROR(INDEX('Mug Marks'!$A$5:$A$204,MATCH(B572,'Mug Marks'!$B$5:$B$204,0)),"(not on Mug Marks)"))</f>
        <v/>
      </c>
      <c r="D572" s="6"/>
      <c r="E572" s="4"/>
      <c r="F572" s="4"/>
      <c r="G572" s="8" t="str">
        <f aca="false">IF(A572="","",A572+Settings!$B$6/24)</f>
        <v/>
      </c>
    </row>
    <row r="573" customFormat="false" ht="15" hidden="false" customHeight="false" outlineLevel="0" collapsed="false">
      <c r="A573" s="14"/>
      <c r="B573" s="5"/>
      <c r="C573" s="15" t="str">
        <f aca="false">IF(B573="","",IFERROR(INDEX('Mug Marks'!$A$5:$A$204,MATCH(B573,'Mug Marks'!$B$5:$B$204,0)),"(not on Mug Marks)"))</f>
        <v/>
      </c>
      <c r="D573" s="6"/>
      <c r="E573" s="4"/>
      <c r="F573" s="4"/>
      <c r="G573" s="8" t="str">
        <f aca="false">IF(A573="","",A573+Settings!$B$6/24)</f>
        <v/>
      </c>
    </row>
    <row r="574" customFormat="false" ht="15" hidden="false" customHeight="false" outlineLevel="0" collapsed="false">
      <c r="A574" s="14"/>
      <c r="B574" s="5"/>
      <c r="C574" s="15" t="str">
        <f aca="false">IF(B574="","",IFERROR(INDEX('Mug Marks'!$A$5:$A$204,MATCH(B574,'Mug Marks'!$B$5:$B$204,0)),"(not on Mug Marks)"))</f>
        <v/>
      </c>
      <c r="D574" s="6"/>
      <c r="E574" s="4"/>
      <c r="F574" s="4"/>
      <c r="G574" s="8" t="str">
        <f aca="false">IF(A574="","",A574+Settings!$B$6/24)</f>
        <v/>
      </c>
    </row>
    <row r="575" customFormat="false" ht="15" hidden="false" customHeight="false" outlineLevel="0" collapsed="false">
      <c r="A575" s="14"/>
      <c r="B575" s="5"/>
      <c r="C575" s="15" t="str">
        <f aca="false">IF(B575="","",IFERROR(INDEX('Mug Marks'!$A$5:$A$204,MATCH(B575,'Mug Marks'!$B$5:$B$204,0)),"(not on Mug Marks)"))</f>
        <v/>
      </c>
      <c r="D575" s="6"/>
      <c r="E575" s="4"/>
      <c r="F575" s="4"/>
      <c r="G575" s="8" t="str">
        <f aca="false">IF(A575="","",A575+Settings!$B$6/24)</f>
        <v/>
      </c>
    </row>
    <row r="576" customFormat="false" ht="15" hidden="false" customHeight="false" outlineLevel="0" collapsed="false">
      <c r="A576" s="14"/>
      <c r="B576" s="5"/>
      <c r="C576" s="15" t="str">
        <f aca="false">IF(B576="","",IFERROR(INDEX('Mug Marks'!$A$5:$A$204,MATCH(B576,'Mug Marks'!$B$5:$B$204,0)),"(not on Mug Marks)"))</f>
        <v/>
      </c>
      <c r="D576" s="6"/>
      <c r="E576" s="4"/>
      <c r="F576" s="4"/>
      <c r="G576" s="8" t="str">
        <f aca="false">IF(A576="","",A576+Settings!$B$6/24)</f>
        <v/>
      </c>
    </row>
    <row r="577" customFormat="false" ht="15" hidden="false" customHeight="false" outlineLevel="0" collapsed="false">
      <c r="A577" s="14"/>
      <c r="B577" s="5"/>
      <c r="C577" s="15" t="str">
        <f aca="false">IF(B577="","",IFERROR(INDEX('Mug Marks'!$A$5:$A$204,MATCH(B577,'Mug Marks'!$B$5:$B$204,0)),"(not on Mug Marks)"))</f>
        <v/>
      </c>
      <c r="D577" s="6"/>
      <c r="E577" s="4"/>
      <c r="F577" s="4"/>
      <c r="G577" s="8" t="str">
        <f aca="false">IF(A577="","",A577+Settings!$B$6/24)</f>
        <v/>
      </c>
    </row>
    <row r="578" customFormat="false" ht="15" hidden="false" customHeight="false" outlineLevel="0" collapsed="false">
      <c r="A578" s="14"/>
      <c r="B578" s="5"/>
      <c r="C578" s="15" t="str">
        <f aca="false">IF(B578="","",IFERROR(INDEX('Mug Marks'!$A$5:$A$204,MATCH(B578,'Mug Marks'!$B$5:$B$204,0)),"(not on Mug Marks)"))</f>
        <v/>
      </c>
      <c r="D578" s="6"/>
      <c r="E578" s="4"/>
      <c r="F578" s="4"/>
      <c r="G578" s="8" t="str">
        <f aca="false">IF(A578="","",A578+Settings!$B$6/24)</f>
        <v/>
      </c>
    </row>
    <row r="579" customFormat="false" ht="15" hidden="false" customHeight="false" outlineLevel="0" collapsed="false">
      <c r="A579" s="14"/>
      <c r="B579" s="5"/>
      <c r="C579" s="15" t="str">
        <f aca="false">IF(B579="","",IFERROR(INDEX('Mug Marks'!$A$5:$A$204,MATCH(B579,'Mug Marks'!$B$5:$B$204,0)),"(not on Mug Marks)"))</f>
        <v/>
      </c>
      <c r="D579" s="6"/>
      <c r="E579" s="4"/>
      <c r="F579" s="4"/>
      <c r="G579" s="8" t="str">
        <f aca="false">IF(A579="","",A579+Settings!$B$6/24)</f>
        <v/>
      </c>
    </row>
    <row r="580" customFormat="false" ht="15" hidden="false" customHeight="false" outlineLevel="0" collapsed="false">
      <c r="A580" s="14"/>
      <c r="B580" s="5"/>
      <c r="C580" s="15" t="str">
        <f aca="false">IF(B580="","",IFERROR(INDEX('Mug Marks'!$A$5:$A$204,MATCH(B580,'Mug Marks'!$B$5:$B$204,0)),"(not on Mug Marks)"))</f>
        <v/>
      </c>
      <c r="D580" s="6"/>
      <c r="E580" s="4"/>
      <c r="F580" s="4"/>
      <c r="G580" s="8" t="str">
        <f aca="false">IF(A580="","",A580+Settings!$B$6/24)</f>
        <v/>
      </c>
    </row>
    <row r="581" customFormat="false" ht="15" hidden="false" customHeight="false" outlineLevel="0" collapsed="false">
      <c r="A581" s="14"/>
      <c r="B581" s="5"/>
      <c r="C581" s="15" t="str">
        <f aca="false">IF(B581="","",IFERROR(INDEX('Mug Marks'!$A$5:$A$204,MATCH(B581,'Mug Marks'!$B$5:$B$204,0)),"(not on Mug Marks)"))</f>
        <v/>
      </c>
      <c r="D581" s="6"/>
      <c r="E581" s="4"/>
      <c r="F581" s="4"/>
      <c r="G581" s="8" t="str">
        <f aca="false">IF(A581="","",A581+Settings!$B$6/24)</f>
        <v/>
      </c>
    </row>
    <row r="582" customFormat="false" ht="15" hidden="false" customHeight="false" outlineLevel="0" collapsed="false">
      <c r="A582" s="14"/>
      <c r="B582" s="5"/>
      <c r="C582" s="15" t="str">
        <f aca="false">IF(B582="","",IFERROR(INDEX('Mug Marks'!$A$5:$A$204,MATCH(B582,'Mug Marks'!$B$5:$B$204,0)),"(not on Mug Marks)"))</f>
        <v/>
      </c>
      <c r="D582" s="6"/>
      <c r="E582" s="4"/>
      <c r="F582" s="4"/>
      <c r="G582" s="8" t="str">
        <f aca="false">IF(A582="","",A582+Settings!$B$6/24)</f>
        <v/>
      </c>
    </row>
    <row r="583" customFormat="false" ht="15" hidden="false" customHeight="false" outlineLevel="0" collapsed="false">
      <c r="A583" s="14"/>
      <c r="B583" s="5"/>
      <c r="C583" s="15" t="str">
        <f aca="false">IF(B583="","",IFERROR(INDEX('Mug Marks'!$A$5:$A$204,MATCH(B583,'Mug Marks'!$B$5:$B$204,0)),"(not on Mug Marks)"))</f>
        <v/>
      </c>
      <c r="D583" s="6"/>
      <c r="E583" s="4"/>
      <c r="F583" s="4"/>
      <c r="G583" s="8" t="str">
        <f aca="false">IF(A583="","",A583+Settings!$B$6/24)</f>
        <v/>
      </c>
    </row>
    <row r="584" customFormat="false" ht="15" hidden="false" customHeight="false" outlineLevel="0" collapsed="false">
      <c r="A584" s="14"/>
      <c r="B584" s="5"/>
      <c r="C584" s="15" t="str">
        <f aca="false">IF(B584="","",IFERROR(INDEX('Mug Marks'!$A$5:$A$204,MATCH(B584,'Mug Marks'!$B$5:$B$204,0)),"(not on Mug Marks)"))</f>
        <v/>
      </c>
      <c r="D584" s="6"/>
      <c r="E584" s="4"/>
      <c r="F584" s="4"/>
      <c r="G584" s="8" t="str">
        <f aca="false">IF(A584="","",A584+Settings!$B$6/24)</f>
        <v/>
      </c>
    </row>
    <row r="585" customFormat="false" ht="15" hidden="false" customHeight="false" outlineLevel="0" collapsed="false">
      <c r="A585" s="14"/>
      <c r="B585" s="5"/>
      <c r="C585" s="15" t="str">
        <f aca="false">IF(B585="","",IFERROR(INDEX('Mug Marks'!$A$5:$A$204,MATCH(B585,'Mug Marks'!$B$5:$B$204,0)),"(not on Mug Marks)"))</f>
        <v/>
      </c>
      <c r="D585" s="6"/>
      <c r="E585" s="4"/>
      <c r="F585" s="4"/>
      <c r="G585" s="8" t="str">
        <f aca="false">IF(A585="","",A585+Settings!$B$6/24)</f>
        <v/>
      </c>
    </row>
    <row r="586" customFormat="false" ht="15" hidden="false" customHeight="false" outlineLevel="0" collapsed="false">
      <c r="A586" s="14"/>
      <c r="B586" s="5"/>
      <c r="C586" s="15" t="str">
        <f aca="false">IF(B586="","",IFERROR(INDEX('Mug Marks'!$A$5:$A$204,MATCH(B586,'Mug Marks'!$B$5:$B$204,0)),"(not on Mug Marks)"))</f>
        <v/>
      </c>
      <c r="D586" s="6"/>
      <c r="E586" s="4"/>
      <c r="F586" s="4"/>
      <c r="G586" s="8" t="str">
        <f aca="false">IF(A586="","",A586+Settings!$B$6/24)</f>
        <v/>
      </c>
    </row>
    <row r="587" customFormat="false" ht="15" hidden="false" customHeight="false" outlineLevel="0" collapsed="false">
      <c r="A587" s="14"/>
      <c r="B587" s="5"/>
      <c r="C587" s="15" t="str">
        <f aca="false">IF(B587="","",IFERROR(INDEX('Mug Marks'!$A$5:$A$204,MATCH(B587,'Mug Marks'!$B$5:$B$204,0)),"(not on Mug Marks)"))</f>
        <v/>
      </c>
      <c r="D587" s="6"/>
      <c r="E587" s="4"/>
      <c r="F587" s="4"/>
      <c r="G587" s="8" t="str">
        <f aca="false">IF(A587="","",A587+Settings!$B$6/24)</f>
        <v/>
      </c>
    </row>
    <row r="588" customFormat="false" ht="15" hidden="false" customHeight="false" outlineLevel="0" collapsed="false">
      <c r="A588" s="14"/>
      <c r="B588" s="5"/>
      <c r="C588" s="15" t="str">
        <f aca="false">IF(B588="","",IFERROR(INDEX('Mug Marks'!$A$5:$A$204,MATCH(B588,'Mug Marks'!$B$5:$B$204,0)),"(not on Mug Marks)"))</f>
        <v/>
      </c>
      <c r="D588" s="6"/>
      <c r="E588" s="4"/>
      <c r="F588" s="4"/>
      <c r="G588" s="8" t="str">
        <f aca="false">IF(A588="","",A588+Settings!$B$6/24)</f>
        <v/>
      </c>
    </row>
    <row r="589" customFormat="false" ht="15" hidden="false" customHeight="false" outlineLevel="0" collapsed="false">
      <c r="A589" s="14"/>
      <c r="B589" s="5"/>
      <c r="C589" s="15" t="str">
        <f aca="false">IF(B589="","",IFERROR(INDEX('Mug Marks'!$A$5:$A$204,MATCH(B589,'Mug Marks'!$B$5:$B$204,0)),"(not on Mug Marks)"))</f>
        <v/>
      </c>
      <c r="D589" s="6"/>
      <c r="E589" s="4"/>
      <c r="F589" s="4"/>
      <c r="G589" s="8" t="str">
        <f aca="false">IF(A589="","",A589+Settings!$B$6/24)</f>
        <v/>
      </c>
    </row>
    <row r="590" customFormat="false" ht="15" hidden="false" customHeight="false" outlineLevel="0" collapsed="false">
      <c r="A590" s="14"/>
      <c r="B590" s="5"/>
      <c r="C590" s="15" t="str">
        <f aca="false">IF(B590="","",IFERROR(INDEX('Mug Marks'!$A$5:$A$204,MATCH(B590,'Mug Marks'!$B$5:$B$204,0)),"(not on Mug Marks)"))</f>
        <v/>
      </c>
      <c r="D590" s="6"/>
      <c r="E590" s="4"/>
      <c r="F590" s="4"/>
      <c r="G590" s="8" t="str">
        <f aca="false">IF(A590="","",A590+Settings!$B$6/24)</f>
        <v/>
      </c>
    </row>
    <row r="591" customFormat="false" ht="15" hidden="false" customHeight="false" outlineLevel="0" collapsed="false">
      <c r="A591" s="14"/>
      <c r="B591" s="5"/>
      <c r="C591" s="15" t="str">
        <f aca="false">IF(B591="","",IFERROR(INDEX('Mug Marks'!$A$5:$A$204,MATCH(B591,'Mug Marks'!$B$5:$B$204,0)),"(not on Mug Marks)"))</f>
        <v/>
      </c>
      <c r="D591" s="6"/>
      <c r="E591" s="4"/>
      <c r="F591" s="4"/>
      <c r="G591" s="8" t="str">
        <f aca="false">IF(A591="","",A591+Settings!$B$6/24)</f>
        <v/>
      </c>
    </row>
    <row r="592" customFormat="false" ht="15" hidden="false" customHeight="false" outlineLevel="0" collapsed="false">
      <c r="A592" s="14"/>
      <c r="B592" s="5"/>
      <c r="C592" s="15" t="str">
        <f aca="false">IF(B592="","",IFERROR(INDEX('Mug Marks'!$A$5:$A$204,MATCH(B592,'Mug Marks'!$B$5:$B$204,0)),"(not on Mug Marks)"))</f>
        <v/>
      </c>
      <c r="D592" s="6"/>
      <c r="E592" s="4"/>
      <c r="F592" s="4"/>
      <c r="G592" s="8" t="str">
        <f aca="false">IF(A592="","",A592+Settings!$B$6/24)</f>
        <v/>
      </c>
    </row>
    <row r="593" customFormat="false" ht="15" hidden="false" customHeight="false" outlineLevel="0" collapsed="false">
      <c r="A593" s="14"/>
      <c r="B593" s="5"/>
      <c r="C593" s="15" t="str">
        <f aca="false">IF(B593="","",IFERROR(INDEX('Mug Marks'!$A$5:$A$204,MATCH(B593,'Mug Marks'!$B$5:$B$204,0)),"(not on Mug Marks)"))</f>
        <v/>
      </c>
      <c r="D593" s="6"/>
      <c r="E593" s="4"/>
      <c r="F593" s="4"/>
      <c r="G593" s="8" t="str">
        <f aca="false">IF(A593="","",A593+Settings!$B$6/24)</f>
        <v/>
      </c>
    </row>
    <row r="594" customFormat="false" ht="15" hidden="false" customHeight="false" outlineLevel="0" collapsed="false">
      <c r="A594" s="14"/>
      <c r="B594" s="5"/>
      <c r="C594" s="15" t="str">
        <f aca="false">IF(B594="","",IFERROR(INDEX('Mug Marks'!$A$5:$A$204,MATCH(B594,'Mug Marks'!$B$5:$B$204,0)),"(not on Mug Marks)"))</f>
        <v/>
      </c>
      <c r="D594" s="6"/>
      <c r="E594" s="4"/>
      <c r="F594" s="4"/>
      <c r="G594" s="8" t="str">
        <f aca="false">IF(A594="","",A594+Settings!$B$6/24)</f>
        <v/>
      </c>
    </row>
    <row r="595" customFormat="false" ht="15" hidden="false" customHeight="false" outlineLevel="0" collapsed="false">
      <c r="A595" s="14"/>
      <c r="B595" s="5"/>
      <c r="C595" s="15" t="str">
        <f aca="false">IF(B595="","",IFERROR(INDEX('Mug Marks'!$A$5:$A$204,MATCH(B595,'Mug Marks'!$B$5:$B$204,0)),"(not on Mug Marks)"))</f>
        <v/>
      </c>
      <c r="D595" s="6"/>
      <c r="E595" s="4"/>
      <c r="F595" s="4"/>
      <c r="G595" s="8" t="str">
        <f aca="false">IF(A595="","",A595+Settings!$B$6/24)</f>
        <v/>
      </c>
    </row>
    <row r="596" customFormat="false" ht="15" hidden="false" customHeight="false" outlineLevel="0" collapsed="false">
      <c r="A596" s="14"/>
      <c r="B596" s="5"/>
      <c r="C596" s="15" t="str">
        <f aca="false">IF(B596="","",IFERROR(INDEX('Mug Marks'!$A$5:$A$204,MATCH(B596,'Mug Marks'!$B$5:$B$204,0)),"(not on Mug Marks)"))</f>
        <v/>
      </c>
      <c r="D596" s="6"/>
      <c r="E596" s="4"/>
      <c r="F596" s="4"/>
      <c r="G596" s="8" t="str">
        <f aca="false">IF(A596="","",A596+Settings!$B$6/24)</f>
        <v/>
      </c>
    </row>
    <row r="597" customFormat="false" ht="15" hidden="false" customHeight="false" outlineLevel="0" collapsed="false">
      <c r="A597" s="14"/>
      <c r="B597" s="5"/>
      <c r="C597" s="15" t="str">
        <f aca="false">IF(B597="","",IFERROR(INDEX('Mug Marks'!$A$5:$A$204,MATCH(B597,'Mug Marks'!$B$5:$B$204,0)),"(not on Mug Marks)"))</f>
        <v/>
      </c>
      <c r="D597" s="6"/>
      <c r="E597" s="4"/>
      <c r="F597" s="4"/>
      <c r="G597" s="8" t="str">
        <f aca="false">IF(A597="","",A597+Settings!$B$6/24)</f>
        <v/>
      </c>
    </row>
    <row r="598" customFormat="false" ht="15" hidden="false" customHeight="false" outlineLevel="0" collapsed="false">
      <c r="A598" s="14"/>
      <c r="B598" s="5"/>
      <c r="C598" s="15" t="str">
        <f aca="false">IF(B598="","",IFERROR(INDEX('Mug Marks'!$A$5:$A$204,MATCH(B598,'Mug Marks'!$B$5:$B$204,0)),"(not on Mug Marks)"))</f>
        <v/>
      </c>
      <c r="D598" s="6"/>
      <c r="E598" s="4"/>
      <c r="F598" s="4"/>
      <c r="G598" s="8" t="str">
        <f aca="false">IF(A598="","",A598+Settings!$B$6/24)</f>
        <v/>
      </c>
    </row>
    <row r="599" customFormat="false" ht="15" hidden="false" customHeight="false" outlineLevel="0" collapsed="false">
      <c r="A599" s="14"/>
      <c r="B599" s="5"/>
      <c r="C599" s="15" t="str">
        <f aca="false">IF(B599="","",IFERROR(INDEX('Mug Marks'!$A$5:$A$204,MATCH(B599,'Mug Marks'!$B$5:$B$204,0)),"(not on Mug Marks)"))</f>
        <v/>
      </c>
      <c r="D599" s="6"/>
      <c r="E599" s="4"/>
      <c r="F599" s="4"/>
      <c r="G599" s="8" t="str">
        <f aca="false">IF(A599="","",A599+Settings!$B$6/24)</f>
        <v/>
      </c>
    </row>
    <row r="600" customFormat="false" ht="15" hidden="false" customHeight="false" outlineLevel="0" collapsed="false">
      <c r="A600" s="14"/>
      <c r="B600" s="5"/>
      <c r="C600" s="15" t="str">
        <f aca="false">IF(B600="","",IFERROR(INDEX('Mug Marks'!$A$5:$A$204,MATCH(B600,'Mug Marks'!$B$5:$B$204,0)),"(not on Mug Marks)"))</f>
        <v/>
      </c>
      <c r="D600" s="6"/>
      <c r="E600" s="4"/>
      <c r="F600" s="4"/>
      <c r="G600" s="8" t="str">
        <f aca="false">IF(A600="","",A600+Settings!$B$6/24)</f>
        <v/>
      </c>
    </row>
    <row r="601" customFormat="false" ht="15" hidden="false" customHeight="false" outlineLevel="0" collapsed="false">
      <c r="A601" s="14"/>
      <c r="B601" s="5"/>
      <c r="C601" s="15" t="str">
        <f aca="false">IF(B601="","",IFERROR(INDEX('Mug Marks'!$A$5:$A$204,MATCH(B601,'Mug Marks'!$B$5:$B$204,0)),"(not on Mug Marks)"))</f>
        <v/>
      </c>
      <c r="D601" s="6"/>
      <c r="E601" s="4"/>
      <c r="F601" s="4"/>
      <c r="G601" s="8" t="str">
        <f aca="false">IF(A601="","",A601+Settings!$B$6/24)</f>
        <v/>
      </c>
    </row>
    <row r="602" customFormat="false" ht="15" hidden="false" customHeight="false" outlineLevel="0" collapsed="false">
      <c r="A602" s="14"/>
      <c r="B602" s="5"/>
      <c r="C602" s="15" t="str">
        <f aca="false">IF(B602="","",IFERROR(INDEX('Mug Marks'!$A$5:$A$204,MATCH(B602,'Mug Marks'!$B$5:$B$204,0)),"(not on Mug Marks)"))</f>
        <v/>
      </c>
      <c r="D602" s="6"/>
      <c r="E602" s="4"/>
      <c r="F602" s="4"/>
      <c r="G602" s="8" t="str">
        <f aca="false">IF(A602="","",A602+Settings!$B$6/24)</f>
        <v/>
      </c>
    </row>
    <row r="603" customFormat="false" ht="15" hidden="false" customHeight="false" outlineLevel="0" collapsed="false">
      <c r="A603" s="14"/>
      <c r="B603" s="5"/>
      <c r="C603" s="15" t="str">
        <f aca="false">IF(B603="","",IFERROR(INDEX('Mug Marks'!$A$5:$A$204,MATCH(B603,'Mug Marks'!$B$5:$B$204,0)),"(not on Mug Marks)"))</f>
        <v/>
      </c>
      <c r="D603" s="6"/>
      <c r="E603" s="4"/>
      <c r="F603" s="4"/>
      <c r="G603" s="8" t="str">
        <f aca="false">IF(A603="","",A603+Settings!$B$6/24)</f>
        <v/>
      </c>
    </row>
    <row r="604" customFormat="false" ht="15" hidden="false" customHeight="false" outlineLevel="0" collapsed="false">
      <c r="A604" s="14"/>
      <c r="B604" s="5"/>
      <c r="C604" s="15" t="str">
        <f aca="false">IF(B604="","",IFERROR(INDEX('Mug Marks'!$A$5:$A$204,MATCH(B604,'Mug Marks'!$B$5:$B$204,0)),"(not on Mug Marks)"))</f>
        <v/>
      </c>
      <c r="D604" s="6"/>
      <c r="E604" s="4"/>
      <c r="F604" s="4"/>
      <c r="G604" s="8" t="str">
        <f aca="false">IF(A604="","",A604+Settings!$B$6/24)</f>
        <v/>
      </c>
    </row>
    <row r="605" customFormat="false" ht="15" hidden="false" customHeight="false" outlineLevel="0" collapsed="false">
      <c r="A605" s="14"/>
      <c r="B605" s="5"/>
      <c r="C605" s="15" t="str">
        <f aca="false">IF(B605="","",IFERROR(INDEX('Mug Marks'!$A$5:$A$204,MATCH(B605,'Mug Marks'!$B$5:$B$204,0)),"(not on Mug Marks)"))</f>
        <v/>
      </c>
      <c r="D605" s="6"/>
      <c r="E605" s="4"/>
      <c r="F605" s="4"/>
      <c r="G605" s="8" t="str">
        <f aca="false">IF(A605="","",A605+Settings!$B$6/24)</f>
        <v/>
      </c>
    </row>
    <row r="606" customFormat="false" ht="15" hidden="false" customHeight="false" outlineLevel="0" collapsed="false">
      <c r="A606" s="14"/>
      <c r="B606" s="5"/>
      <c r="C606" s="15" t="str">
        <f aca="false">IF(B606="","",IFERROR(INDEX('Mug Marks'!$A$5:$A$204,MATCH(B606,'Mug Marks'!$B$5:$B$204,0)),"(not on Mug Marks)"))</f>
        <v/>
      </c>
      <c r="D606" s="6"/>
      <c r="E606" s="4"/>
      <c r="F606" s="4"/>
      <c r="G606" s="8" t="str">
        <f aca="false">IF(A606="","",A606+Settings!$B$6/24)</f>
        <v/>
      </c>
    </row>
    <row r="607" customFormat="false" ht="15" hidden="false" customHeight="false" outlineLevel="0" collapsed="false">
      <c r="A607" s="14"/>
      <c r="B607" s="5"/>
      <c r="C607" s="15" t="str">
        <f aca="false">IF(B607="","",IFERROR(INDEX('Mug Marks'!$A$5:$A$204,MATCH(B607,'Mug Marks'!$B$5:$B$204,0)),"(not on Mug Marks)"))</f>
        <v/>
      </c>
      <c r="D607" s="6"/>
      <c r="E607" s="4"/>
      <c r="F607" s="4"/>
      <c r="G607" s="8" t="str">
        <f aca="false">IF(A607="","",A607+Settings!$B$6/24)</f>
        <v/>
      </c>
    </row>
    <row r="608" customFormat="false" ht="15" hidden="false" customHeight="false" outlineLevel="0" collapsed="false">
      <c r="A608" s="14"/>
      <c r="B608" s="5"/>
      <c r="C608" s="15" t="str">
        <f aca="false">IF(B608="","",IFERROR(INDEX('Mug Marks'!$A$5:$A$204,MATCH(B608,'Mug Marks'!$B$5:$B$204,0)),"(not on Mug Marks)"))</f>
        <v/>
      </c>
      <c r="D608" s="6"/>
      <c r="E608" s="4"/>
      <c r="F608" s="4"/>
      <c r="G608" s="8" t="str">
        <f aca="false">IF(A608="","",A608+Settings!$B$6/24)</f>
        <v/>
      </c>
    </row>
    <row r="609" customFormat="false" ht="15" hidden="false" customHeight="false" outlineLevel="0" collapsed="false">
      <c r="A609" s="14"/>
      <c r="B609" s="5"/>
      <c r="C609" s="15" t="str">
        <f aca="false">IF(B609="","",IFERROR(INDEX('Mug Marks'!$A$5:$A$204,MATCH(B609,'Mug Marks'!$B$5:$B$204,0)),"(not on Mug Marks)"))</f>
        <v/>
      </c>
      <c r="D609" s="6"/>
      <c r="E609" s="4"/>
      <c r="F609" s="4"/>
      <c r="G609" s="8" t="str">
        <f aca="false">IF(A609="","",A609+Settings!$B$6/24)</f>
        <v/>
      </c>
    </row>
    <row r="610" customFormat="false" ht="15" hidden="false" customHeight="false" outlineLevel="0" collapsed="false">
      <c r="A610" s="14"/>
      <c r="B610" s="5"/>
      <c r="C610" s="15" t="str">
        <f aca="false">IF(B610="","",IFERROR(INDEX('Mug Marks'!$A$5:$A$204,MATCH(B610,'Mug Marks'!$B$5:$B$204,0)),"(not on Mug Marks)"))</f>
        <v/>
      </c>
      <c r="D610" s="6"/>
      <c r="E610" s="4"/>
      <c r="F610" s="4"/>
      <c r="G610" s="8" t="str">
        <f aca="false">IF(A610="","",A610+Settings!$B$6/24)</f>
        <v/>
      </c>
    </row>
    <row r="611" customFormat="false" ht="15" hidden="false" customHeight="false" outlineLevel="0" collapsed="false">
      <c r="A611" s="14"/>
      <c r="B611" s="5"/>
      <c r="C611" s="15" t="str">
        <f aca="false">IF(B611="","",IFERROR(INDEX('Mug Marks'!$A$5:$A$204,MATCH(B611,'Mug Marks'!$B$5:$B$204,0)),"(not on Mug Marks)"))</f>
        <v/>
      </c>
      <c r="D611" s="6"/>
      <c r="E611" s="4"/>
      <c r="F611" s="4"/>
      <c r="G611" s="8" t="str">
        <f aca="false">IF(A611="","",A611+Settings!$B$6/24)</f>
        <v/>
      </c>
    </row>
    <row r="612" customFormat="false" ht="15" hidden="false" customHeight="false" outlineLevel="0" collapsed="false">
      <c r="A612" s="14"/>
      <c r="B612" s="5"/>
      <c r="C612" s="15" t="str">
        <f aca="false">IF(B612="","",IFERROR(INDEX('Mug Marks'!$A$5:$A$204,MATCH(B612,'Mug Marks'!$B$5:$B$204,0)),"(not on Mug Marks)"))</f>
        <v/>
      </c>
      <c r="D612" s="6"/>
      <c r="E612" s="4"/>
      <c r="F612" s="4"/>
      <c r="G612" s="8" t="str">
        <f aca="false">IF(A612="","",A612+Settings!$B$6/24)</f>
        <v/>
      </c>
    </row>
    <row r="613" customFormat="false" ht="15" hidden="false" customHeight="false" outlineLevel="0" collapsed="false">
      <c r="A613" s="14"/>
      <c r="B613" s="5"/>
      <c r="C613" s="15" t="str">
        <f aca="false">IF(B613="","",IFERROR(INDEX('Mug Marks'!$A$5:$A$204,MATCH(B613,'Mug Marks'!$B$5:$B$204,0)),"(not on Mug Marks)"))</f>
        <v/>
      </c>
      <c r="D613" s="6"/>
      <c r="E613" s="4"/>
      <c r="F613" s="4"/>
      <c r="G613" s="8" t="str">
        <f aca="false">IF(A613="","",A613+Settings!$B$6/24)</f>
        <v/>
      </c>
    </row>
    <row r="614" customFormat="false" ht="15" hidden="false" customHeight="false" outlineLevel="0" collapsed="false">
      <c r="A614" s="14"/>
      <c r="B614" s="5"/>
      <c r="C614" s="15" t="str">
        <f aca="false">IF(B614="","",IFERROR(INDEX('Mug Marks'!$A$5:$A$204,MATCH(B614,'Mug Marks'!$B$5:$B$204,0)),"(not on Mug Marks)"))</f>
        <v/>
      </c>
      <c r="D614" s="6"/>
      <c r="E614" s="4"/>
      <c r="F614" s="4"/>
      <c r="G614" s="8" t="str">
        <f aca="false">IF(A614="","",A614+Settings!$B$6/24)</f>
        <v/>
      </c>
    </row>
    <row r="615" customFormat="false" ht="15" hidden="false" customHeight="false" outlineLevel="0" collapsed="false">
      <c r="A615" s="14"/>
      <c r="B615" s="5"/>
      <c r="C615" s="15" t="str">
        <f aca="false">IF(B615="","",IFERROR(INDEX('Mug Marks'!$A$5:$A$204,MATCH(B615,'Mug Marks'!$B$5:$B$204,0)),"(not on Mug Marks)"))</f>
        <v/>
      </c>
      <c r="D615" s="6"/>
      <c r="E615" s="4"/>
      <c r="F615" s="4"/>
      <c r="G615" s="8" t="str">
        <f aca="false">IF(A615="","",A615+Settings!$B$6/24)</f>
        <v/>
      </c>
    </row>
    <row r="616" customFormat="false" ht="15" hidden="false" customHeight="false" outlineLevel="0" collapsed="false">
      <c r="A616" s="14"/>
      <c r="B616" s="5"/>
      <c r="C616" s="15" t="str">
        <f aca="false">IF(B616="","",IFERROR(INDEX('Mug Marks'!$A$5:$A$204,MATCH(B616,'Mug Marks'!$B$5:$B$204,0)),"(not on Mug Marks)"))</f>
        <v/>
      </c>
      <c r="D616" s="6"/>
      <c r="E616" s="4"/>
      <c r="F616" s="4"/>
      <c r="G616" s="8" t="str">
        <f aca="false">IF(A616="","",A616+Settings!$B$6/24)</f>
        <v/>
      </c>
    </row>
    <row r="617" customFormat="false" ht="15" hidden="false" customHeight="false" outlineLevel="0" collapsed="false">
      <c r="A617" s="14"/>
      <c r="B617" s="5"/>
      <c r="C617" s="15" t="str">
        <f aca="false">IF(B617="","",IFERROR(INDEX('Mug Marks'!$A$5:$A$204,MATCH(B617,'Mug Marks'!$B$5:$B$204,0)),"(not on Mug Marks)"))</f>
        <v/>
      </c>
      <c r="D617" s="6"/>
      <c r="E617" s="4"/>
      <c r="F617" s="4"/>
      <c r="G617" s="8" t="str">
        <f aca="false">IF(A617="","",A617+Settings!$B$6/24)</f>
        <v/>
      </c>
    </row>
    <row r="618" customFormat="false" ht="15" hidden="false" customHeight="false" outlineLevel="0" collapsed="false">
      <c r="A618" s="14"/>
      <c r="B618" s="5"/>
      <c r="C618" s="15" t="str">
        <f aca="false">IF(B618="","",IFERROR(INDEX('Mug Marks'!$A$5:$A$204,MATCH(B618,'Mug Marks'!$B$5:$B$204,0)),"(not on Mug Marks)"))</f>
        <v/>
      </c>
      <c r="D618" s="6"/>
      <c r="E618" s="4"/>
      <c r="F618" s="4"/>
      <c r="G618" s="8" t="str">
        <f aca="false">IF(A618="","",A618+Settings!$B$6/24)</f>
        <v/>
      </c>
    </row>
    <row r="619" customFormat="false" ht="15" hidden="false" customHeight="false" outlineLevel="0" collapsed="false">
      <c r="A619" s="14"/>
      <c r="B619" s="5"/>
      <c r="C619" s="15" t="str">
        <f aca="false">IF(B619="","",IFERROR(INDEX('Mug Marks'!$A$5:$A$204,MATCH(B619,'Mug Marks'!$B$5:$B$204,0)),"(not on Mug Marks)"))</f>
        <v/>
      </c>
      <c r="D619" s="6"/>
      <c r="E619" s="4"/>
      <c r="F619" s="4"/>
      <c r="G619" s="8" t="str">
        <f aca="false">IF(A619="","",A619+Settings!$B$6/24)</f>
        <v/>
      </c>
    </row>
    <row r="620" customFormat="false" ht="15" hidden="false" customHeight="false" outlineLevel="0" collapsed="false">
      <c r="A620" s="14"/>
      <c r="B620" s="5"/>
      <c r="C620" s="15" t="str">
        <f aca="false">IF(B620="","",IFERROR(INDEX('Mug Marks'!$A$5:$A$204,MATCH(B620,'Mug Marks'!$B$5:$B$204,0)),"(not on Mug Marks)"))</f>
        <v/>
      </c>
      <c r="D620" s="6"/>
      <c r="E620" s="4"/>
      <c r="F620" s="4"/>
      <c r="G620" s="8" t="str">
        <f aca="false">IF(A620="","",A620+Settings!$B$6/24)</f>
        <v/>
      </c>
    </row>
    <row r="621" customFormat="false" ht="15" hidden="false" customHeight="false" outlineLevel="0" collapsed="false">
      <c r="A621" s="14"/>
      <c r="B621" s="5"/>
      <c r="C621" s="15" t="str">
        <f aca="false">IF(B621="","",IFERROR(INDEX('Mug Marks'!$A$5:$A$204,MATCH(B621,'Mug Marks'!$B$5:$B$204,0)),"(not on Mug Marks)"))</f>
        <v/>
      </c>
      <c r="D621" s="6"/>
      <c r="E621" s="4"/>
      <c r="F621" s="4"/>
      <c r="G621" s="8" t="str">
        <f aca="false">IF(A621="","",A621+Settings!$B$6/24)</f>
        <v/>
      </c>
    </row>
    <row r="622" customFormat="false" ht="15" hidden="false" customHeight="false" outlineLevel="0" collapsed="false">
      <c r="A622" s="14"/>
      <c r="B622" s="5"/>
      <c r="C622" s="15" t="str">
        <f aca="false">IF(B622="","",IFERROR(INDEX('Mug Marks'!$A$5:$A$204,MATCH(B622,'Mug Marks'!$B$5:$B$204,0)),"(not on Mug Marks)"))</f>
        <v/>
      </c>
      <c r="D622" s="6"/>
      <c r="E622" s="4"/>
      <c r="F622" s="4"/>
      <c r="G622" s="8" t="str">
        <f aca="false">IF(A622="","",A622+Settings!$B$6/24)</f>
        <v/>
      </c>
    </row>
    <row r="623" customFormat="false" ht="15" hidden="false" customHeight="false" outlineLevel="0" collapsed="false">
      <c r="A623" s="14"/>
      <c r="B623" s="5"/>
      <c r="C623" s="15" t="str">
        <f aca="false">IF(B623="","",IFERROR(INDEX('Mug Marks'!$A$5:$A$204,MATCH(B623,'Mug Marks'!$B$5:$B$204,0)),"(not on Mug Marks)"))</f>
        <v/>
      </c>
      <c r="D623" s="6"/>
      <c r="E623" s="4"/>
      <c r="F623" s="4"/>
      <c r="G623" s="8" t="str">
        <f aca="false">IF(A623="","",A623+Settings!$B$6/24)</f>
        <v/>
      </c>
    </row>
    <row r="624" customFormat="false" ht="15" hidden="false" customHeight="false" outlineLevel="0" collapsed="false">
      <c r="A624" s="14"/>
      <c r="B624" s="5"/>
      <c r="C624" s="15" t="str">
        <f aca="false">IF(B624="","",IFERROR(INDEX('Mug Marks'!$A$5:$A$204,MATCH(B624,'Mug Marks'!$B$5:$B$204,0)),"(not on Mug Marks)"))</f>
        <v/>
      </c>
      <c r="D624" s="6"/>
      <c r="E624" s="4"/>
      <c r="F624" s="4"/>
      <c r="G624" s="8" t="str">
        <f aca="false">IF(A624="","",A624+Settings!$B$6/24)</f>
        <v/>
      </c>
    </row>
    <row r="625" customFormat="false" ht="15" hidden="false" customHeight="false" outlineLevel="0" collapsed="false">
      <c r="A625" s="14"/>
      <c r="B625" s="5"/>
      <c r="C625" s="15" t="str">
        <f aca="false">IF(B625="","",IFERROR(INDEX('Mug Marks'!$A$5:$A$204,MATCH(B625,'Mug Marks'!$B$5:$B$204,0)),"(not on Mug Marks)"))</f>
        <v/>
      </c>
      <c r="D625" s="6"/>
      <c r="E625" s="4"/>
      <c r="F625" s="4"/>
      <c r="G625" s="8" t="str">
        <f aca="false">IF(A625="","",A625+Settings!$B$6/24)</f>
        <v/>
      </c>
    </row>
    <row r="626" customFormat="false" ht="15" hidden="false" customHeight="false" outlineLevel="0" collapsed="false">
      <c r="A626" s="14"/>
      <c r="B626" s="5"/>
      <c r="C626" s="15" t="str">
        <f aca="false">IF(B626="","",IFERROR(INDEX('Mug Marks'!$A$5:$A$204,MATCH(B626,'Mug Marks'!$B$5:$B$204,0)),"(not on Mug Marks)"))</f>
        <v/>
      </c>
      <c r="D626" s="6"/>
      <c r="E626" s="4"/>
      <c r="F626" s="4"/>
      <c r="G626" s="8" t="str">
        <f aca="false">IF(A626="","",A626+Settings!$B$6/24)</f>
        <v/>
      </c>
    </row>
    <row r="627" customFormat="false" ht="15" hidden="false" customHeight="false" outlineLevel="0" collapsed="false">
      <c r="A627" s="14"/>
      <c r="B627" s="5"/>
      <c r="C627" s="15" t="str">
        <f aca="false">IF(B627="","",IFERROR(INDEX('Mug Marks'!$A$5:$A$204,MATCH(B627,'Mug Marks'!$B$5:$B$204,0)),"(not on Mug Marks)"))</f>
        <v/>
      </c>
      <c r="D627" s="6"/>
      <c r="E627" s="4"/>
      <c r="F627" s="4"/>
      <c r="G627" s="8" t="str">
        <f aca="false">IF(A627="","",A627+Settings!$B$6/24)</f>
        <v/>
      </c>
    </row>
    <row r="628" customFormat="false" ht="15" hidden="false" customHeight="false" outlineLevel="0" collapsed="false">
      <c r="A628" s="14"/>
      <c r="B628" s="5"/>
      <c r="C628" s="15" t="str">
        <f aca="false">IF(B628="","",IFERROR(INDEX('Mug Marks'!$A$5:$A$204,MATCH(B628,'Mug Marks'!$B$5:$B$204,0)),"(not on Mug Marks)"))</f>
        <v/>
      </c>
      <c r="D628" s="6"/>
      <c r="E628" s="4"/>
      <c r="F628" s="4"/>
      <c r="G628" s="8" t="str">
        <f aca="false">IF(A628="","",A628+Settings!$B$6/24)</f>
        <v/>
      </c>
    </row>
    <row r="629" customFormat="false" ht="15" hidden="false" customHeight="false" outlineLevel="0" collapsed="false">
      <c r="A629" s="14"/>
      <c r="B629" s="5"/>
      <c r="C629" s="15" t="str">
        <f aca="false">IF(B629="","",IFERROR(INDEX('Mug Marks'!$A$5:$A$204,MATCH(B629,'Mug Marks'!$B$5:$B$204,0)),"(not on Mug Marks)"))</f>
        <v/>
      </c>
      <c r="D629" s="6"/>
      <c r="E629" s="4"/>
      <c r="F629" s="4"/>
      <c r="G629" s="8" t="str">
        <f aca="false">IF(A629="","",A629+Settings!$B$6/24)</f>
        <v/>
      </c>
    </row>
    <row r="630" customFormat="false" ht="15" hidden="false" customHeight="false" outlineLevel="0" collapsed="false">
      <c r="A630" s="14"/>
      <c r="B630" s="5"/>
      <c r="C630" s="15" t="str">
        <f aca="false">IF(B630="","",IFERROR(INDEX('Mug Marks'!$A$5:$A$204,MATCH(B630,'Mug Marks'!$B$5:$B$204,0)),"(not on Mug Marks)"))</f>
        <v/>
      </c>
      <c r="D630" s="6"/>
      <c r="E630" s="4"/>
      <c r="F630" s="4"/>
      <c r="G630" s="8" t="str">
        <f aca="false">IF(A630="","",A630+Settings!$B$6/24)</f>
        <v/>
      </c>
    </row>
    <row r="631" customFormat="false" ht="15" hidden="false" customHeight="false" outlineLevel="0" collapsed="false">
      <c r="A631" s="14"/>
      <c r="B631" s="5"/>
      <c r="C631" s="15" t="str">
        <f aca="false">IF(B631="","",IFERROR(INDEX('Mug Marks'!$A$5:$A$204,MATCH(B631,'Mug Marks'!$B$5:$B$204,0)),"(not on Mug Marks)"))</f>
        <v/>
      </c>
      <c r="D631" s="6"/>
      <c r="E631" s="4"/>
      <c r="F631" s="4"/>
      <c r="G631" s="8" t="str">
        <f aca="false">IF(A631="","",A631+Settings!$B$6/24)</f>
        <v/>
      </c>
    </row>
    <row r="632" customFormat="false" ht="15" hidden="false" customHeight="false" outlineLevel="0" collapsed="false">
      <c r="A632" s="14"/>
      <c r="B632" s="5"/>
      <c r="C632" s="15" t="str">
        <f aca="false">IF(B632="","",IFERROR(INDEX('Mug Marks'!$A$5:$A$204,MATCH(B632,'Mug Marks'!$B$5:$B$204,0)),"(not on Mug Marks)"))</f>
        <v/>
      </c>
      <c r="D632" s="6"/>
      <c r="E632" s="4"/>
      <c r="F632" s="4"/>
      <c r="G632" s="8" t="str">
        <f aca="false">IF(A632="","",A632+Settings!$B$6/24)</f>
        <v/>
      </c>
    </row>
    <row r="633" customFormat="false" ht="15" hidden="false" customHeight="false" outlineLevel="0" collapsed="false">
      <c r="A633" s="14"/>
      <c r="B633" s="5"/>
      <c r="C633" s="15" t="str">
        <f aca="false">IF(B633="","",IFERROR(INDEX('Mug Marks'!$A$5:$A$204,MATCH(B633,'Mug Marks'!$B$5:$B$204,0)),"(not on Mug Marks)"))</f>
        <v/>
      </c>
      <c r="D633" s="6"/>
      <c r="E633" s="4"/>
      <c r="F633" s="4"/>
      <c r="G633" s="8" t="str">
        <f aca="false">IF(A633="","",A633+Settings!$B$6/24)</f>
        <v/>
      </c>
    </row>
    <row r="634" customFormat="false" ht="15" hidden="false" customHeight="false" outlineLevel="0" collapsed="false">
      <c r="A634" s="14"/>
      <c r="B634" s="5"/>
      <c r="C634" s="15" t="str">
        <f aca="false">IF(B634="","",IFERROR(INDEX('Mug Marks'!$A$5:$A$204,MATCH(B634,'Mug Marks'!$B$5:$B$204,0)),"(not on Mug Marks)"))</f>
        <v/>
      </c>
      <c r="D634" s="6"/>
      <c r="E634" s="4"/>
      <c r="F634" s="4"/>
      <c r="G634" s="8" t="str">
        <f aca="false">IF(A634="","",A634+Settings!$B$6/24)</f>
        <v/>
      </c>
    </row>
    <row r="635" customFormat="false" ht="15" hidden="false" customHeight="false" outlineLevel="0" collapsed="false">
      <c r="A635" s="14"/>
      <c r="B635" s="5"/>
      <c r="C635" s="15" t="str">
        <f aca="false">IF(B635="","",IFERROR(INDEX('Mug Marks'!$A$5:$A$204,MATCH(B635,'Mug Marks'!$B$5:$B$204,0)),"(not on Mug Marks)"))</f>
        <v/>
      </c>
      <c r="D635" s="6"/>
      <c r="E635" s="4"/>
      <c r="F635" s="4"/>
      <c r="G635" s="8" t="str">
        <f aca="false">IF(A635="","",A635+Settings!$B$6/24)</f>
        <v/>
      </c>
    </row>
    <row r="636" customFormat="false" ht="15" hidden="false" customHeight="false" outlineLevel="0" collapsed="false">
      <c r="A636" s="14"/>
      <c r="B636" s="5"/>
      <c r="C636" s="15" t="str">
        <f aca="false">IF(B636="","",IFERROR(INDEX('Mug Marks'!$A$5:$A$204,MATCH(B636,'Mug Marks'!$B$5:$B$204,0)),"(not on Mug Marks)"))</f>
        <v/>
      </c>
      <c r="D636" s="6"/>
      <c r="E636" s="4"/>
      <c r="F636" s="4"/>
      <c r="G636" s="8" t="str">
        <f aca="false">IF(A636="","",A636+Settings!$B$6/24)</f>
        <v/>
      </c>
    </row>
    <row r="637" customFormat="false" ht="15" hidden="false" customHeight="false" outlineLevel="0" collapsed="false">
      <c r="A637" s="14"/>
      <c r="B637" s="5"/>
      <c r="C637" s="15" t="str">
        <f aca="false">IF(B637="","",IFERROR(INDEX('Mug Marks'!$A$5:$A$204,MATCH(B637,'Mug Marks'!$B$5:$B$204,0)),"(not on Mug Marks)"))</f>
        <v/>
      </c>
      <c r="D637" s="6"/>
      <c r="E637" s="4"/>
      <c r="F637" s="4"/>
      <c r="G637" s="8" t="str">
        <f aca="false">IF(A637="","",A637+Settings!$B$6/24)</f>
        <v/>
      </c>
    </row>
    <row r="638" customFormat="false" ht="15" hidden="false" customHeight="false" outlineLevel="0" collapsed="false">
      <c r="A638" s="14"/>
      <c r="B638" s="5"/>
      <c r="C638" s="15" t="str">
        <f aca="false">IF(B638="","",IFERROR(INDEX('Mug Marks'!$A$5:$A$204,MATCH(B638,'Mug Marks'!$B$5:$B$204,0)),"(not on Mug Marks)"))</f>
        <v/>
      </c>
      <c r="D638" s="6"/>
      <c r="E638" s="4"/>
      <c r="F638" s="4"/>
      <c r="G638" s="8" t="str">
        <f aca="false">IF(A638="","",A638+Settings!$B$6/24)</f>
        <v/>
      </c>
    </row>
    <row r="639" customFormat="false" ht="15" hidden="false" customHeight="false" outlineLevel="0" collapsed="false">
      <c r="A639" s="14"/>
      <c r="B639" s="5"/>
      <c r="C639" s="15" t="str">
        <f aca="false">IF(B639="","",IFERROR(INDEX('Mug Marks'!$A$5:$A$204,MATCH(B639,'Mug Marks'!$B$5:$B$204,0)),"(not on Mug Marks)"))</f>
        <v/>
      </c>
      <c r="D639" s="6"/>
      <c r="E639" s="4"/>
      <c r="F639" s="4"/>
      <c r="G639" s="8" t="str">
        <f aca="false">IF(A639="","",A639+Settings!$B$6/24)</f>
        <v/>
      </c>
    </row>
    <row r="640" customFormat="false" ht="15" hidden="false" customHeight="false" outlineLevel="0" collapsed="false">
      <c r="A640" s="14"/>
      <c r="B640" s="5"/>
      <c r="C640" s="15" t="str">
        <f aca="false">IF(B640="","",IFERROR(INDEX('Mug Marks'!$A$5:$A$204,MATCH(B640,'Mug Marks'!$B$5:$B$204,0)),"(not on Mug Marks)"))</f>
        <v/>
      </c>
      <c r="D640" s="6"/>
      <c r="E640" s="4"/>
      <c r="F640" s="4"/>
      <c r="G640" s="8" t="str">
        <f aca="false">IF(A640="","",A640+Settings!$B$6/24)</f>
        <v/>
      </c>
    </row>
    <row r="641" customFormat="false" ht="15" hidden="false" customHeight="false" outlineLevel="0" collapsed="false">
      <c r="A641" s="14"/>
      <c r="B641" s="5"/>
      <c r="C641" s="15" t="str">
        <f aca="false">IF(B641="","",IFERROR(INDEX('Mug Marks'!$A$5:$A$204,MATCH(B641,'Mug Marks'!$B$5:$B$204,0)),"(not on Mug Marks)"))</f>
        <v/>
      </c>
      <c r="D641" s="6"/>
      <c r="E641" s="4"/>
      <c r="F641" s="4"/>
      <c r="G641" s="8" t="str">
        <f aca="false">IF(A641="","",A641+Settings!$B$6/24)</f>
        <v/>
      </c>
    </row>
    <row r="642" customFormat="false" ht="15" hidden="false" customHeight="false" outlineLevel="0" collapsed="false">
      <c r="A642" s="14"/>
      <c r="B642" s="5"/>
      <c r="C642" s="15" t="str">
        <f aca="false">IF(B642="","",IFERROR(INDEX('Mug Marks'!$A$5:$A$204,MATCH(B642,'Mug Marks'!$B$5:$B$204,0)),"(not on Mug Marks)"))</f>
        <v/>
      </c>
      <c r="D642" s="6"/>
      <c r="E642" s="4"/>
      <c r="F642" s="4"/>
      <c r="G642" s="8" t="str">
        <f aca="false">IF(A642="","",A642+Settings!$B$6/24)</f>
        <v/>
      </c>
    </row>
    <row r="643" customFormat="false" ht="15" hidden="false" customHeight="false" outlineLevel="0" collapsed="false">
      <c r="A643" s="14"/>
      <c r="B643" s="5"/>
      <c r="C643" s="15" t="str">
        <f aca="false">IF(B643="","",IFERROR(INDEX('Mug Marks'!$A$5:$A$204,MATCH(B643,'Mug Marks'!$B$5:$B$204,0)),"(not on Mug Marks)"))</f>
        <v/>
      </c>
      <c r="D643" s="6"/>
      <c r="E643" s="4"/>
      <c r="F643" s="4"/>
      <c r="G643" s="8" t="str">
        <f aca="false">IF(A643="","",A643+Settings!$B$6/24)</f>
        <v/>
      </c>
    </row>
    <row r="644" customFormat="false" ht="15" hidden="false" customHeight="false" outlineLevel="0" collapsed="false">
      <c r="A644" s="14"/>
      <c r="B644" s="5"/>
      <c r="C644" s="15" t="str">
        <f aca="false">IF(B644="","",IFERROR(INDEX('Mug Marks'!$A$5:$A$204,MATCH(B644,'Mug Marks'!$B$5:$B$204,0)),"(not on Mug Marks)"))</f>
        <v/>
      </c>
      <c r="D644" s="6"/>
      <c r="E644" s="4"/>
      <c r="F644" s="4"/>
      <c r="G644" s="8" t="str">
        <f aca="false">IF(A644="","",A644+Settings!$B$6/24)</f>
        <v/>
      </c>
    </row>
    <row r="645" customFormat="false" ht="15" hidden="false" customHeight="false" outlineLevel="0" collapsed="false">
      <c r="A645" s="14"/>
      <c r="B645" s="5"/>
      <c r="C645" s="15" t="str">
        <f aca="false">IF(B645="","",IFERROR(INDEX('Mug Marks'!$A$5:$A$204,MATCH(B645,'Mug Marks'!$B$5:$B$204,0)),"(not on Mug Marks)"))</f>
        <v/>
      </c>
      <c r="D645" s="6"/>
      <c r="E645" s="4"/>
      <c r="F645" s="4"/>
      <c r="G645" s="8" t="str">
        <f aca="false">IF(A645="","",A645+Settings!$B$6/24)</f>
        <v/>
      </c>
    </row>
    <row r="646" customFormat="false" ht="15" hidden="false" customHeight="false" outlineLevel="0" collapsed="false">
      <c r="A646" s="14"/>
      <c r="B646" s="5"/>
      <c r="C646" s="15" t="str">
        <f aca="false">IF(B646="","",IFERROR(INDEX('Mug Marks'!$A$5:$A$204,MATCH(B646,'Mug Marks'!$B$5:$B$204,0)),"(not on Mug Marks)"))</f>
        <v/>
      </c>
      <c r="D646" s="6"/>
      <c r="E646" s="4"/>
      <c r="F646" s="4"/>
      <c r="G646" s="8" t="str">
        <f aca="false">IF(A646="","",A646+Settings!$B$6/24)</f>
        <v/>
      </c>
    </row>
    <row r="647" customFormat="false" ht="15" hidden="false" customHeight="false" outlineLevel="0" collapsed="false">
      <c r="A647" s="14"/>
      <c r="B647" s="5"/>
      <c r="C647" s="15" t="str">
        <f aca="false">IF(B647="","",IFERROR(INDEX('Mug Marks'!$A$5:$A$204,MATCH(B647,'Mug Marks'!$B$5:$B$204,0)),"(not on Mug Marks)"))</f>
        <v/>
      </c>
      <c r="D647" s="6"/>
      <c r="E647" s="4"/>
      <c r="F647" s="4"/>
      <c r="G647" s="8" t="str">
        <f aca="false">IF(A647="","",A647+Settings!$B$6/24)</f>
        <v/>
      </c>
    </row>
    <row r="648" customFormat="false" ht="15" hidden="false" customHeight="false" outlineLevel="0" collapsed="false">
      <c r="A648" s="14"/>
      <c r="B648" s="5"/>
      <c r="C648" s="15" t="str">
        <f aca="false">IF(B648="","",IFERROR(INDEX('Mug Marks'!$A$5:$A$204,MATCH(B648,'Mug Marks'!$B$5:$B$204,0)),"(not on Mug Marks)"))</f>
        <v/>
      </c>
      <c r="D648" s="6"/>
      <c r="E648" s="4"/>
      <c r="F648" s="4"/>
      <c r="G648" s="8" t="str">
        <f aca="false">IF(A648="","",A648+Settings!$B$6/24)</f>
        <v/>
      </c>
    </row>
    <row r="649" customFormat="false" ht="15" hidden="false" customHeight="false" outlineLevel="0" collapsed="false">
      <c r="A649" s="14"/>
      <c r="B649" s="5"/>
      <c r="C649" s="15" t="str">
        <f aca="false">IF(B649="","",IFERROR(INDEX('Mug Marks'!$A$5:$A$204,MATCH(B649,'Mug Marks'!$B$5:$B$204,0)),"(not on Mug Marks)"))</f>
        <v/>
      </c>
      <c r="D649" s="6"/>
      <c r="E649" s="4"/>
      <c r="F649" s="4"/>
      <c r="G649" s="8" t="str">
        <f aca="false">IF(A649="","",A649+Settings!$B$6/24)</f>
        <v/>
      </c>
    </row>
    <row r="650" customFormat="false" ht="15" hidden="false" customHeight="false" outlineLevel="0" collapsed="false">
      <c r="A650" s="14"/>
      <c r="B650" s="5"/>
      <c r="C650" s="15" t="str">
        <f aca="false">IF(B650="","",IFERROR(INDEX('Mug Marks'!$A$5:$A$204,MATCH(B650,'Mug Marks'!$B$5:$B$204,0)),"(not on Mug Marks)"))</f>
        <v/>
      </c>
      <c r="D650" s="6"/>
      <c r="E650" s="4"/>
      <c r="F650" s="4"/>
      <c r="G650" s="8" t="str">
        <f aca="false">IF(A650="","",A650+Settings!$B$6/24)</f>
        <v/>
      </c>
    </row>
    <row r="651" customFormat="false" ht="15" hidden="false" customHeight="false" outlineLevel="0" collapsed="false">
      <c r="A651" s="14"/>
      <c r="B651" s="5"/>
      <c r="C651" s="15" t="str">
        <f aca="false">IF(B651="","",IFERROR(INDEX('Mug Marks'!$A$5:$A$204,MATCH(B651,'Mug Marks'!$B$5:$B$204,0)),"(not on Mug Marks)"))</f>
        <v/>
      </c>
      <c r="D651" s="6"/>
      <c r="E651" s="4"/>
      <c r="F651" s="4"/>
      <c r="G651" s="8" t="str">
        <f aca="false">IF(A651="","",A651+Settings!$B$6/24)</f>
        <v/>
      </c>
    </row>
    <row r="652" customFormat="false" ht="15" hidden="false" customHeight="false" outlineLevel="0" collapsed="false">
      <c r="A652" s="14"/>
      <c r="B652" s="5"/>
      <c r="C652" s="15" t="str">
        <f aca="false">IF(B652="","",IFERROR(INDEX('Mug Marks'!$A$5:$A$204,MATCH(B652,'Mug Marks'!$B$5:$B$204,0)),"(not on Mug Marks)"))</f>
        <v/>
      </c>
      <c r="D652" s="6"/>
      <c r="E652" s="4"/>
      <c r="F652" s="4"/>
      <c r="G652" s="8" t="str">
        <f aca="false">IF(A652="","",A652+Settings!$B$6/24)</f>
        <v/>
      </c>
    </row>
    <row r="653" customFormat="false" ht="15" hidden="false" customHeight="false" outlineLevel="0" collapsed="false">
      <c r="A653" s="14"/>
      <c r="B653" s="5"/>
      <c r="C653" s="15" t="str">
        <f aca="false">IF(B653="","",IFERROR(INDEX('Mug Marks'!$A$5:$A$204,MATCH(B653,'Mug Marks'!$B$5:$B$204,0)),"(not on Mug Marks)"))</f>
        <v/>
      </c>
      <c r="D653" s="6"/>
      <c r="E653" s="4"/>
      <c r="F653" s="4"/>
      <c r="G653" s="8" t="str">
        <f aca="false">IF(A653="","",A653+Settings!$B$6/24)</f>
        <v/>
      </c>
    </row>
    <row r="654" customFormat="false" ht="15" hidden="false" customHeight="false" outlineLevel="0" collapsed="false">
      <c r="A654" s="14"/>
      <c r="B654" s="5"/>
      <c r="C654" s="15" t="str">
        <f aca="false">IF(B654="","",IFERROR(INDEX('Mug Marks'!$A$5:$A$204,MATCH(B654,'Mug Marks'!$B$5:$B$204,0)),"(not on Mug Marks)"))</f>
        <v/>
      </c>
      <c r="D654" s="6"/>
      <c r="E654" s="4"/>
      <c r="F654" s="4"/>
      <c r="G654" s="8" t="str">
        <f aca="false">IF(A654="","",A654+Settings!$B$6/24)</f>
        <v/>
      </c>
    </row>
    <row r="655" customFormat="false" ht="15" hidden="false" customHeight="false" outlineLevel="0" collapsed="false">
      <c r="A655" s="14"/>
      <c r="B655" s="5"/>
      <c r="C655" s="15" t="str">
        <f aca="false">IF(B655="","",IFERROR(INDEX('Mug Marks'!$A$5:$A$204,MATCH(B655,'Mug Marks'!$B$5:$B$204,0)),"(not on Mug Marks)"))</f>
        <v/>
      </c>
      <c r="D655" s="6"/>
      <c r="E655" s="4"/>
      <c r="F655" s="4"/>
      <c r="G655" s="8" t="str">
        <f aca="false">IF(A655="","",A655+Settings!$B$6/24)</f>
        <v/>
      </c>
    </row>
    <row r="656" customFormat="false" ht="15" hidden="false" customHeight="false" outlineLevel="0" collapsed="false">
      <c r="A656" s="14"/>
      <c r="B656" s="5"/>
      <c r="C656" s="15" t="str">
        <f aca="false">IF(B656="","",IFERROR(INDEX('Mug Marks'!$A$5:$A$204,MATCH(B656,'Mug Marks'!$B$5:$B$204,0)),"(not on Mug Marks)"))</f>
        <v/>
      </c>
      <c r="D656" s="6"/>
      <c r="E656" s="4"/>
      <c r="F656" s="4"/>
      <c r="G656" s="8" t="str">
        <f aca="false">IF(A656="","",A656+Settings!$B$6/24)</f>
        <v/>
      </c>
    </row>
    <row r="657" customFormat="false" ht="15" hidden="false" customHeight="false" outlineLevel="0" collapsed="false">
      <c r="A657" s="14"/>
      <c r="B657" s="5"/>
      <c r="C657" s="15" t="str">
        <f aca="false">IF(B657="","",IFERROR(INDEX('Mug Marks'!$A$5:$A$204,MATCH(B657,'Mug Marks'!$B$5:$B$204,0)),"(not on Mug Marks)"))</f>
        <v/>
      </c>
      <c r="D657" s="6"/>
      <c r="E657" s="4"/>
      <c r="F657" s="4"/>
      <c r="G657" s="8" t="str">
        <f aca="false">IF(A657="","",A657+Settings!$B$6/24)</f>
        <v/>
      </c>
    </row>
    <row r="658" customFormat="false" ht="15" hidden="false" customHeight="false" outlineLevel="0" collapsed="false">
      <c r="A658" s="14"/>
      <c r="B658" s="5"/>
      <c r="C658" s="15" t="str">
        <f aca="false">IF(B658="","",IFERROR(INDEX('Mug Marks'!$A$5:$A$204,MATCH(B658,'Mug Marks'!$B$5:$B$204,0)),"(not on Mug Marks)"))</f>
        <v/>
      </c>
      <c r="D658" s="6"/>
      <c r="E658" s="4"/>
      <c r="F658" s="4"/>
      <c r="G658" s="8" t="str">
        <f aca="false">IF(A658="","",A658+Settings!$B$6/24)</f>
        <v/>
      </c>
    </row>
    <row r="659" customFormat="false" ht="15" hidden="false" customHeight="false" outlineLevel="0" collapsed="false">
      <c r="A659" s="14"/>
      <c r="B659" s="5"/>
      <c r="C659" s="15" t="str">
        <f aca="false">IF(B659="","",IFERROR(INDEX('Mug Marks'!$A$5:$A$204,MATCH(B659,'Mug Marks'!$B$5:$B$204,0)),"(not on Mug Marks)"))</f>
        <v/>
      </c>
      <c r="D659" s="6"/>
      <c r="E659" s="4"/>
      <c r="F659" s="4"/>
      <c r="G659" s="8" t="str">
        <f aca="false">IF(A659="","",A659+Settings!$B$6/24)</f>
        <v/>
      </c>
    </row>
    <row r="660" customFormat="false" ht="15" hidden="false" customHeight="false" outlineLevel="0" collapsed="false">
      <c r="A660" s="14"/>
      <c r="B660" s="5"/>
      <c r="C660" s="15" t="str">
        <f aca="false">IF(B660="","",IFERROR(INDEX('Mug Marks'!$A$5:$A$204,MATCH(B660,'Mug Marks'!$B$5:$B$204,0)),"(not on Mug Marks)"))</f>
        <v/>
      </c>
      <c r="D660" s="6"/>
      <c r="E660" s="4"/>
      <c r="F660" s="4"/>
      <c r="G660" s="8" t="str">
        <f aca="false">IF(A660="","",A660+Settings!$B$6/24)</f>
        <v/>
      </c>
    </row>
    <row r="661" customFormat="false" ht="15" hidden="false" customHeight="false" outlineLevel="0" collapsed="false">
      <c r="A661" s="14"/>
      <c r="B661" s="5"/>
      <c r="C661" s="15" t="str">
        <f aca="false">IF(B661="","",IFERROR(INDEX('Mug Marks'!$A$5:$A$204,MATCH(B661,'Mug Marks'!$B$5:$B$204,0)),"(not on Mug Marks)"))</f>
        <v/>
      </c>
      <c r="D661" s="6"/>
      <c r="E661" s="4"/>
      <c r="F661" s="4"/>
      <c r="G661" s="8" t="str">
        <f aca="false">IF(A661="","",A661+Settings!$B$6/24)</f>
        <v/>
      </c>
    </row>
    <row r="662" customFormat="false" ht="15" hidden="false" customHeight="false" outlineLevel="0" collapsed="false">
      <c r="A662" s="14"/>
      <c r="B662" s="5"/>
      <c r="C662" s="15" t="str">
        <f aca="false">IF(B662="","",IFERROR(INDEX('Mug Marks'!$A$5:$A$204,MATCH(B662,'Mug Marks'!$B$5:$B$204,0)),"(not on Mug Marks)"))</f>
        <v/>
      </c>
      <c r="D662" s="6"/>
      <c r="E662" s="4"/>
      <c r="F662" s="4"/>
      <c r="G662" s="8" t="str">
        <f aca="false">IF(A662="","",A662+Settings!$B$6/24)</f>
        <v/>
      </c>
    </row>
    <row r="663" customFormat="false" ht="15" hidden="false" customHeight="false" outlineLevel="0" collapsed="false">
      <c r="A663" s="14"/>
      <c r="B663" s="5"/>
      <c r="C663" s="15" t="str">
        <f aca="false">IF(B663="","",IFERROR(INDEX('Mug Marks'!$A$5:$A$204,MATCH(B663,'Mug Marks'!$B$5:$B$204,0)),"(not on Mug Marks)"))</f>
        <v/>
      </c>
      <c r="D663" s="6"/>
      <c r="E663" s="4"/>
      <c r="F663" s="4"/>
      <c r="G663" s="8" t="str">
        <f aca="false">IF(A663="","",A663+Settings!$B$6/24)</f>
        <v/>
      </c>
    </row>
    <row r="664" customFormat="false" ht="15" hidden="false" customHeight="false" outlineLevel="0" collapsed="false">
      <c r="A664" s="14"/>
      <c r="B664" s="5"/>
      <c r="C664" s="15" t="str">
        <f aca="false">IF(B664="","",IFERROR(INDEX('Mug Marks'!$A$5:$A$204,MATCH(B664,'Mug Marks'!$B$5:$B$204,0)),"(not on Mug Marks)"))</f>
        <v/>
      </c>
      <c r="D664" s="6"/>
      <c r="E664" s="4"/>
      <c r="F664" s="4"/>
      <c r="G664" s="8" t="str">
        <f aca="false">IF(A664="","",A664+Settings!$B$6/24)</f>
        <v/>
      </c>
    </row>
    <row r="665" customFormat="false" ht="15" hidden="false" customHeight="false" outlineLevel="0" collapsed="false">
      <c r="A665" s="14"/>
      <c r="B665" s="5"/>
      <c r="C665" s="15" t="str">
        <f aca="false">IF(B665="","",IFERROR(INDEX('Mug Marks'!$A$5:$A$204,MATCH(B665,'Mug Marks'!$B$5:$B$204,0)),"(not on Mug Marks)"))</f>
        <v/>
      </c>
      <c r="D665" s="6"/>
      <c r="E665" s="4"/>
      <c r="F665" s="4"/>
      <c r="G665" s="8" t="str">
        <f aca="false">IF(A665="","",A665+Settings!$B$6/24)</f>
        <v/>
      </c>
    </row>
    <row r="666" customFormat="false" ht="15" hidden="false" customHeight="false" outlineLevel="0" collapsed="false">
      <c r="A666" s="14"/>
      <c r="B666" s="5"/>
      <c r="C666" s="15" t="str">
        <f aca="false">IF(B666="","",IFERROR(INDEX('Mug Marks'!$A$5:$A$204,MATCH(B666,'Mug Marks'!$B$5:$B$204,0)),"(not on Mug Marks)"))</f>
        <v/>
      </c>
      <c r="D666" s="6"/>
      <c r="E666" s="4"/>
      <c r="F666" s="4"/>
      <c r="G666" s="8" t="str">
        <f aca="false">IF(A666="","",A666+Settings!$B$6/24)</f>
        <v/>
      </c>
    </row>
    <row r="667" customFormat="false" ht="15" hidden="false" customHeight="false" outlineLevel="0" collapsed="false">
      <c r="A667" s="14"/>
      <c r="B667" s="5"/>
      <c r="C667" s="15" t="str">
        <f aca="false">IF(B667="","",IFERROR(INDEX('Mug Marks'!$A$5:$A$204,MATCH(B667,'Mug Marks'!$B$5:$B$204,0)),"(not on Mug Marks)"))</f>
        <v/>
      </c>
      <c r="D667" s="6"/>
      <c r="E667" s="4"/>
      <c r="F667" s="4"/>
      <c r="G667" s="8" t="str">
        <f aca="false">IF(A667="","",A667+Settings!$B$6/24)</f>
        <v/>
      </c>
    </row>
    <row r="668" customFormat="false" ht="15" hidden="false" customHeight="false" outlineLevel="0" collapsed="false">
      <c r="A668" s="14"/>
      <c r="B668" s="5"/>
      <c r="C668" s="15" t="str">
        <f aca="false">IF(B668="","",IFERROR(INDEX('Mug Marks'!$A$5:$A$204,MATCH(B668,'Mug Marks'!$B$5:$B$204,0)),"(not on Mug Marks)"))</f>
        <v/>
      </c>
      <c r="D668" s="6"/>
      <c r="E668" s="4"/>
      <c r="F668" s="4"/>
      <c r="G668" s="8" t="str">
        <f aca="false">IF(A668="","",A668+Settings!$B$6/24)</f>
        <v/>
      </c>
    </row>
    <row r="669" customFormat="false" ht="15" hidden="false" customHeight="false" outlineLevel="0" collapsed="false">
      <c r="A669" s="14"/>
      <c r="B669" s="5"/>
      <c r="C669" s="15" t="str">
        <f aca="false">IF(B669="","",IFERROR(INDEX('Mug Marks'!$A$5:$A$204,MATCH(B669,'Mug Marks'!$B$5:$B$204,0)),"(not on Mug Marks)"))</f>
        <v/>
      </c>
      <c r="D669" s="6"/>
      <c r="E669" s="4"/>
      <c r="F669" s="4"/>
      <c r="G669" s="8" t="str">
        <f aca="false">IF(A669="","",A669+Settings!$B$6/24)</f>
        <v/>
      </c>
    </row>
    <row r="670" customFormat="false" ht="15" hidden="false" customHeight="false" outlineLevel="0" collapsed="false">
      <c r="A670" s="14"/>
      <c r="B670" s="5"/>
      <c r="C670" s="15" t="str">
        <f aca="false">IF(B670="","",IFERROR(INDEX('Mug Marks'!$A$5:$A$204,MATCH(B670,'Mug Marks'!$B$5:$B$204,0)),"(not on Mug Marks)"))</f>
        <v/>
      </c>
      <c r="D670" s="6"/>
      <c r="E670" s="4"/>
      <c r="F670" s="4"/>
      <c r="G670" s="8" t="str">
        <f aca="false">IF(A670="","",A670+Settings!$B$6/24)</f>
        <v/>
      </c>
    </row>
    <row r="671" customFormat="false" ht="15" hidden="false" customHeight="false" outlineLevel="0" collapsed="false">
      <c r="A671" s="14"/>
      <c r="B671" s="5"/>
      <c r="C671" s="15" t="str">
        <f aca="false">IF(B671="","",IFERROR(INDEX('Mug Marks'!$A$5:$A$204,MATCH(B671,'Mug Marks'!$B$5:$B$204,0)),"(not on Mug Marks)"))</f>
        <v/>
      </c>
      <c r="D671" s="6"/>
      <c r="E671" s="4"/>
      <c r="F671" s="4"/>
      <c r="G671" s="8" t="str">
        <f aca="false">IF(A671="","",A671+Settings!$B$6/24)</f>
        <v/>
      </c>
    </row>
    <row r="672" customFormat="false" ht="15" hidden="false" customHeight="false" outlineLevel="0" collapsed="false">
      <c r="A672" s="14"/>
      <c r="B672" s="5"/>
      <c r="C672" s="15" t="str">
        <f aca="false">IF(B672="","",IFERROR(INDEX('Mug Marks'!$A$5:$A$204,MATCH(B672,'Mug Marks'!$B$5:$B$204,0)),"(not on Mug Marks)"))</f>
        <v/>
      </c>
      <c r="D672" s="6"/>
      <c r="E672" s="4"/>
      <c r="F672" s="4"/>
      <c r="G672" s="8" t="str">
        <f aca="false">IF(A672="","",A672+Settings!$B$6/24)</f>
        <v/>
      </c>
    </row>
    <row r="673" customFormat="false" ht="15" hidden="false" customHeight="false" outlineLevel="0" collapsed="false">
      <c r="A673" s="14"/>
      <c r="B673" s="5"/>
      <c r="C673" s="15" t="str">
        <f aca="false">IF(B673="","",IFERROR(INDEX('Mug Marks'!$A$5:$A$204,MATCH(B673,'Mug Marks'!$B$5:$B$204,0)),"(not on Mug Marks)"))</f>
        <v/>
      </c>
      <c r="D673" s="6"/>
      <c r="E673" s="4"/>
      <c r="F673" s="4"/>
      <c r="G673" s="8" t="str">
        <f aca="false">IF(A673="","",A673+Settings!$B$6/24)</f>
        <v/>
      </c>
    </row>
    <row r="674" customFormat="false" ht="15" hidden="false" customHeight="false" outlineLevel="0" collapsed="false">
      <c r="A674" s="14"/>
      <c r="B674" s="5"/>
      <c r="C674" s="15" t="str">
        <f aca="false">IF(B674="","",IFERROR(INDEX('Mug Marks'!$A$5:$A$204,MATCH(B674,'Mug Marks'!$B$5:$B$204,0)),"(not on Mug Marks)"))</f>
        <v/>
      </c>
      <c r="D674" s="6"/>
      <c r="E674" s="4"/>
      <c r="F674" s="4"/>
      <c r="G674" s="8" t="str">
        <f aca="false">IF(A674="","",A674+Settings!$B$6/24)</f>
        <v/>
      </c>
    </row>
    <row r="675" customFormat="false" ht="15" hidden="false" customHeight="false" outlineLevel="0" collapsed="false">
      <c r="A675" s="14"/>
      <c r="B675" s="5"/>
      <c r="C675" s="15" t="str">
        <f aca="false">IF(B675="","",IFERROR(INDEX('Mug Marks'!$A$5:$A$204,MATCH(B675,'Mug Marks'!$B$5:$B$204,0)),"(not on Mug Marks)"))</f>
        <v/>
      </c>
      <c r="D675" s="6"/>
      <c r="E675" s="4"/>
      <c r="F675" s="4"/>
      <c r="G675" s="8" t="str">
        <f aca="false">IF(A675="","",A675+Settings!$B$6/24)</f>
        <v/>
      </c>
    </row>
    <row r="676" customFormat="false" ht="15" hidden="false" customHeight="false" outlineLevel="0" collapsed="false">
      <c r="A676" s="14"/>
      <c r="B676" s="5"/>
      <c r="C676" s="15" t="str">
        <f aca="false">IF(B676="","",IFERROR(INDEX('Mug Marks'!$A$5:$A$204,MATCH(B676,'Mug Marks'!$B$5:$B$204,0)),"(not on Mug Marks)"))</f>
        <v/>
      </c>
      <c r="D676" s="6"/>
      <c r="E676" s="4"/>
      <c r="F676" s="4"/>
      <c r="G676" s="8" t="str">
        <f aca="false">IF(A676="","",A676+Settings!$B$6/24)</f>
        <v/>
      </c>
    </row>
    <row r="677" customFormat="false" ht="15" hidden="false" customHeight="false" outlineLevel="0" collapsed="false">
      <c r="A677" s="14"/>
      <c r="B677" s="5"/>
      <c r="C677" s="15" t="str">
        <f aca="false">IF(B677="","",IFERROR(INDEX('Mug Marks'!$A$5:$A$204,MATCH(B677,'Mug Marks'!$B$5:$B$204,0)),"(not on Mug Marks)"))</f>
        <v/>
      </c>
      <c r="D677" s="6"/>
      <c r="E677" s="4"/>
      <c r="F677" s="4"/>
      <c r="G677" s="8" t="str">
        <f aca="false">IF(A677="","",A677+Settings!$B$6/24)</f>
        <v/>
      </c>
    </row>
    <row r="678" customFormat="false" ht="15" hidden="false" customHeight="false" outlineLevel="0" collapsed="false">
      <c r="A678" s="14"/>
      <c r="B678" s="5"/>
      <c r="C678" s="15" t="str">
        <f aca="false">IF(B678="","",IFERROR(INDEX('Mug Marks'!$A$5:$A$204,MATCH(B678,'Mug Marks'!$B$5:$B$204,0)),"(not on Mug Marks)"))</f>
        <v/>
      </c>
      <c r="D678" s="6"/>
      <c r="E678" s="4"/>
      <c r="F678" s="4"/>
      <c r="G678" s="8" t="str">
        <f aca="false">IF(A678="","",A678+Settings!$B$6/24)</f>
        <v/>
      </c>
    </row>
    <row r="679" customFormat="false" ht="15" hidden="false" customHeight="false" outlineLevel="0" collapsed="false">
      <c r="A679" s="14"/>
      <c r="B679" s="5"/>
      <c r="C679" s="15" t="str">
        <f aca="false">IF(B679="","",IFERROR(INDEX('Mug Marks'!$A$5:$A$204,MATCH(B679,'Mug Marks'!$B$5:$B$204,0)),"(not on Mug Marks)"))</f>
        <v/>
      </c>
      <c r="D679" s="6"/>
      <c r="E679" s="4"/>
      <c r="F679" s="4"/>
      <c r="G679" s="8" t="str">
        <f aca="false">IF(A679="","",A679+Settings!$B$6/24)</f>
        <v/>
      </c>
    </row>
    <row r="680" customFormat="false" ht="15" hidden="false" customHeight="false" outlineLevel="0" collapsed="false">
      <c r="A680" s="14"/>
      <c r="B680" s="5"/>
      <c r="C680" s="15" t="str">
        <f aca="false">IF(B680="","",IFERROR(INDEX('Mug Marks'!$A$5:$A$204,MATCH(B680,'Mug Marks'!$B$5:$B$204,0)),"(not on Mug Marks)"))</f>
        <v/>
      </c>
      <c r="D680" s="6"/>
      <c r="E680" s="4"/>
      <c r="F680" s="4"/>
      <c r="G680" s="8" t="str">
        <f aca="false">IF(A680="","",A680+Settings!$B$6/24)</f>
        <v/>
      </c>
    </row>
    <row r="681" customFormat="false" ht="15" hidden="false" customHeight="false" outlineLevel="0" collapsed="false">
      <c r="A681" s="14"/>
      <c r="B681" s="5"/>
      <c r="C681" s="15" t="str">
        <f aca="false">IF(B681="","",IFERROR(INDEX('Mug Marks'!$A$5:$A$204,MATCH(B681,'Mug Marks'!$B$5:$B$204,0)),"(not on Mug Marks)"))</f>
        <v/>
      </c>
      <c r="D681" s="6"/>
      <c r="E681" s="4"/>
      <c r="F681" s="4"/>
      <c r="G681" s="8" t="str">
        <f aca="false">IF(A681="","",A681+Settings!$B$6/24)</f>
        <v/>
      </c>
    </row>
    <row r="682" customFormat="false" ht="15" hidden="false" customHeight="false" outlineLevel="0" collapsed="false">
      <c r="A682" s="14"/>
      <c r="B682" s="5"/>
      <c r="C682" s="15" t="str">
        <f aca="false">IF(B682="","",IFERROR(INDEX('Mug Marks'!$A$5:$A$204,MATCH(B682,'Mug Marks'!$B$5:$B$204,0)),"(not on Mug Marks)"))</f>
        <v/>
      </c>
      <c r="D682" s="6"/>
      <c r="E682" s="4"/>
      <c r="F682" s="4"/>
      <c r="G682" s="8" t="str">
        <f aca="false">IF(A682="","",A682+Settings!$B$6/24)</f>
        <v/>
      </c>
    </row>
    <row r="683" customFormat="false" ht="15" hidden="false" customHeight="false" outlineLevel="0" collapsed="false">
      <c r="A683" s="14"/>
      <c r="B683" s="5"/>
      <c r="C683" s="15" t="str">
        <f aca="false">IF(B683="","",IFERROR(INDEX('Mug Marks'!$A$5:$A$204,MATCH(B683,'Mug Marks'!$B$5:$B$204,0)),"(not on Mug Marks)"))</f>
        <v/>
      </c>
      <c r="D683" s="6"/>
      <c r="E683" s="4"/>
      <c r="F683" s="4"/>
      <c r="G683" s="8" t="str">
        <f aca="false">IF(A683="","",A683+Settings!$B$6/24)</f>
        <v/>
      </c>
    </row>
    <row r="684" customFormat="false" ht="15" hidden="false" customHeight="false" outlineLevel="0" collapsed="false">
      <c r="A684" s="14"/>
      <c r="B684" s="5"/>
      <c r="C684" s="15" t="str">
        <f aca="false">IF(B684="","",IFERROR(INDEX('Mug Marks'!$A$5:$A$204,MATCH(B684,'Mug Marks'!$B$5:$B$204,0)),"(not on Mug Marks)"))</f>
        <v/>
      </c>
      <c r="D684" s="6"/>
      <c r="E684" s="4"/>
      <c r="F684" s="4"/>
      <c r="G684" s="8" t="str">
        <f aca="false">IF(A684="","",A684+Settings!$B$6/24)</f>
        <v/>
      </c>
    </row>
    <row r="685" customFormat="false" ht="15" hidden="false" customHeight="false" outlineLevel="0" collapsed="false">
      <c r="A685" s="14"/>
      <c r="B685" s="5"/>
      <c r="C685" s="15" t="str">
        <f aca="false">IF(B685="","",IFERROR(INDEX('Mug Marks'!$A$5:$A$204,MATCH(B685,'Mug Marks'!$B$5:$B$204,0)),"(not on Mug Marks)"))</f>
        <v/>
      </c>
      <c r="D685" s="6"/>
      <c r="E685" s="4"/>
      <c r="F685" s="4"/>
      <c r="G685" s="8" t="str">
        <f aca="false">IF(A685="","",A685+Settings!$B$6/24)</f>
        <v/>
      </c>
    </row>
    <row r="686" customFormat="false" ht="15" hidden="false" customHeight="false" outlineLevel="0" collapsed="false">
      <c r="A686" s="14"/>
      <c r="B686" s="5"/>
      <c r="C686" s="15" t="str">
        <f aca="false">IF(B686="","",IFERROR(INDEX('Mug Marks'!$A$5:$A$204,MATCH(B686,'Mug Marks'!$B$5:$B$204,0)),"(not on Mug Marks)"))</f>
        <v/>
      </c>
      <c r="D686" s="6"/>
      <c r="E686" s="4"/>
      <c r="F686" s="4"/>
      <c r="G686" s="8" t="str">
        <f aca="false">IF(A686="","",A686+Settings!$B$6/24)</f>
        <v/>
      </c>
    </row>
    <row r="687" customFormat="false" ht="15" hidden="false" customHeight="false" outlineLevel="0" collapsed="false">
      <c r="A687" s="14"/>
      <c r="B687" s="5"/>
      <c r="C687" s="15" t="str">
        <f aca="false">IF(B687="","",IFERROR(INDEX('Mug Marks'!$A$5:$A$204,MATCH(B687,'Mug Marks'!$B$5:$B$204,0)),"(not on Mug Marks)"))</f>
        <v/>
      </c>
      <c r="D687" s="6"/>
      <c r="E687" s="4"/>
      <c r="F687" s="4"/>
      <c r="G687" s="8" t="str">
        <f aca="false">IF(A687="","",A687+Settings!$B$6/24)</f>
        <v/>
      </c>
    </row>
    <row r="688" customFormat="false" ht="15" hidden="false" customHeight="false" outlineLevel="0" collapsed="false">
      <c r="A688" s="14"/>
      <c r="B688" s="5"/>
      <c r="C688" s="15" t="str">
        <f aca="false">IF(B688="","",IFERROR(INDEX('Mug Marks'!$A$5:$A$204,MATCH(B688,'Mug Marks'!$B$5:$B$204,0)),"(not on Mug Marks)"))</f>
        <v/>
      </c>
      <c r="D688" s="6"/>
      <c r="E688" s="4"/>
      <c r="F688" s="4"/>
      <c r="G688" s="8" t="str">
        <f aca="false">IF(A688="","",A688+Settings!$B$6/24)</f>
        <v/>
      </c>
    </row>
    <row r="689" customFormat="false" ht="15" hidden="false" customHeight="false" outlineLevel="0" collapsed="false">
      <c r="A689" s="14"/>
      <c r="B689" s="5"/>
      <c r="C689" s="15" t="str">
        <f aca="false">IF(B689="","",IFERROR(INDEX('Mug Marks'!$A$5:$A$204,MATCH(B689,'Mug Marks'!$B$5:$B$204,0)),"(not on Mug Marks)"))</f>
        <v/>
      </c>
      <c r="D689" s="6"/>
      <c r="E689" s="4"/>
      <c r="F689" s="4"/>
      <c r="G689" s="8" t="str">
        <f aca="false">IF(A689="","",A689+Settings!$B$6/24)</f>
        <v/>
      </c>
    </row>
    <row r="690" customFormat="false" ht="15" hidden="false" customHeight="false" outlineLevel="0" collapsed="false">
      <c r="A690" s="14"/>
      <c r="B690" s="5"/>
      <c r="C690" s="15" t="str">
        <f aca="false">IF(B690="","",IFERROR(INDEX('Mug Marks'!$A$5:$A$204,MATCH(B690,'Mug Marks'!$B$5:$B$204,0)),"(not on Mug Marks)"))</f>
        <v/>
      </c>
      <c r="D690" s="6"/>
      <c r="E690" s="4"/>
      <c r="F690" s="4"/>
      <c r="G690" s="8" t="str">
        <f aca="false">IF(A690="","",A690+Settings!$B$6/24)</f>
        <v/>
      </c>
    </row>
    <row r="691" customFormat="false" ht="15" hidden="false" customHeight="false" outlineLevel="0" collapsed="false">
      <c r="A691" s="14"/>
      <c r="B691" s="5"/>
      <c r="C691" s="15" t="str">
        <f aca="false">IF(B691="","",IFERROR(INDEX('Mug Marks'!$A$5:$A$204,MATCH(B691,'Mug Marks'!$B$5:$B$204,0)),"(not on Mug Marks)"))</f>
        <v/>
      </c>
      <c r="D691" s="6"/>
      <c r="E691" s="4"/>
      <c r="F691" s="4"/>
      <c r="G691" s="8" t="str">
        <f aca="false">IF(A691="","",A691+Settings!$B$6/24)</f>
        <v/>
      </c>
    </row>
    <row r="692" customFormat="false" ht="15" hidden="false" customHeight="false" outlineLevel="0" collapsed="false">
      <c r="A692" s="14"/>
      <c r="B692" s="5"/>
      <c r="C692" s="15" t="str">
        <f aca="false">IF(B692="","",IFERROR(INDEX('Mug Marks'!$A$5:$A$204,MATCH(B692,'Mug Marks'!$B$5:$B$204,0)),"(not on Mug Marks)"))</f>
        <v/>
      </c>
      <c r="D692" s="6"/>
      <c r="E692" s="4"/>
      <c r="F692" s="4"/>
      <c r="G692" s="8" t="str">
        <f aca="false">IF(A692="","",A692+Settings!$B$6/24)</f>
        <v/>
      </c>
    </row>
    <row r="693" customFormat="false" ht="15" hidden="false" customHeight="false" outlineLevel="0" collapsed="false">
      <c r="A693" s="14"/>
      <c r="B693" s="5"/>
      <c r="C693" s="15" t="str">
        <f aca="false">IF(B693="","",IFERROR(INDEX('Mug Marks'!$A$5:$A$204,MATCH(B693,'Mug Marks'!$B$5:$B$204,0)),"(not on Mug Marks)"))</f>
        <v/>
      </c>
      <c r="D693" s="6"/>
      <c r="E693" s="4"/>
      <c r="F693" s="4"/>
      <c r="G693" s="8" t="str">
        <f aca="false">IF(A693="","",A693+Settings!$B$6/24)</f>
        <v/>
      </c>
    </row>
    <row r="694" customFormat="false" ht="15" hidden="false" customHeight="false" outlineLevel="0" collapsed="false">
      <c r="A694" s="14"/>
      <c r="B694" s="5"/>
      <c r="C694" s="15" t="str">
        <f aca="false">IF(B694="","",IFERROR(INDEX('Mug Marks'!$A$5:$A$204,MATCH(B694,'Mug Marks'!$B$5:$B$204,0)),"(not on Mug Marks)"))</f>
        <v/>
      </c>
      <c r="D694" s="6"/>
      <c r="E694" s="4"/>
      <c r="F694" s="4"/>
      <c r="G694" s="8" t="str">
        <f aca="false">IF(A694="","",A694+Settings!$B$6/24)</f>
        <v/>
      </c>
    </row>
    <row r="695" customFormat="false" ht="15" hidden="false" customHeight="false" outlineLevel="0" collapsed="false">
      <c r="A695" s="14"/>
      <c r="B695" s="5"/>
      <c r="C695" s="15" t="str">
        <f aca="false">IF(B695="","",IFERROR(INDEX('Mug Marks'!$A$5:$A$204,MATCH(B695,'Mug Marks'!$B$5:$B$204,0)),"(not on Mug Marks)"))</f>
        <v/>
      </c>
      <c r="D695" s="6"/>
      <c r="E695" s="4"/>
      <c r="F695" s="4"/>
      <c r="G695" s="8" t="str">
        <f aca="false">IF(A695="","",A695+Settings!$B$6/24)</f>
        <v/>
      </c>
    </row>
    <row r="696" customFormat="false" ht="15" hidden="false" customHeight="false" outlineLevel="0" collapsed="false">
      <c r="A696" s="14"/>
      <c r="B696" s="5"/>
      <c r="C696" s="15" t="str">
        <f aca="false">IF(B696="","",IFERROR(INDEX('Mug Marks'!$A$5:$A$204,MATCH(B696,'Mug Marks'!$B$5:$B$204,0)),"(not on Mug Marks)"))</f>
        <v/>
      </c>
      <c r="D696" s="6"/>
      <c r="E696" s="4"/>
      <c r="F696" s="4"/>
      <c r="G696" s="8" t="str">
        <f aca="false">IF(A696="","",A696+Settings!$B$6/24)</f>
        <v/>
      </c>
    </row>
    <row r="697" customFormat="false" ht="15" hidden="false" customHeight="false" outlineLevel="0" collapsed="false">
      <c r="A697" s="14"/>
      <c r="B697" s="5"/>
      <c r="C697" s="15" t="str">
        <f aca="false">IF(B697="","",IFERROR(INDEX('Mug Marks'!$A$5:$A$204,MATCH(B697,'Mug Marks'!$B$5:$B$204,0)),"(not on Mug Marks)"))</f>
        <v/>
      </c>
      <c r="D697" s="6"/>
      <c r="E697" s="4"/>
      <c r="F697" s="4"/>
      <c r="G697" s="8" t="str">
        <f aca="false">IF(A697="","",A697+Settings!$B$6/24)</f>
        <v/>
      </c>
    </row>
    <row r="698" customFormat="false" ht="15" hidden="false" customHeight="false" outlineLevel="0" collapsed="false">
      <c r="A698" s="14"/>
      <c r="B698" s="5"/>
      <c r="C698" s="15" t="str">
        <f aca="false">IF(B698="","",IFERROR(INDEX('Mug Marks'!$A$5:$A$204,MATCH(B698,'Mug Marks'!$B$5:$B$204,0)),"(not on Mug Marks)"))</f>
        <v/>
      </c>
      <c r="D698" s="6"/>
      <c r="E698" s="4"/>
      <c r="F698" s="4"/>
      <c r="G698" s="8" t="str">
        <f aca="false">IF(A698="","",A698+Settings!$B$6/24)</f>
        <v/>
      </c>
    </row>
    <row r="699" customFormat="false" ht="15" hidden="false" customHeight="false" outlineLevel="0" collapsed="false">
      <c r="A699" s="14"/>
      <c r="B699" s="5"/>
      <c r="C699" s="15" t="str">
        <f aca="false">IF(B699="","",IFERROR(INDEX('Mug Marks'!$A$5:$A$204,MATCH(B699,'Mug Marks'!$B$5:$B$204,0)),"(not on Mug Marks)"))</f>
        <v/>
      </c>
      <c r="D699" s="6"/>
      <c r="E699" s="4"/>
      <c r="F699" s="4"/>
      <c r="G699" s="8" t="str">
        <f aca="false">IF(A699="","",A699+Settings!$B$6/24)</f>
        <v/>
      </c>
    </row>
    <row r="700" customFormat="false" ht="15" hidden="false" customHeight="false" outlineLevel="0" collapsed="false">
      <c r="A700" s="14"/>
      <c r="B700" s="5"/>
      <c r="C700" s="15" t="str">
        <f aca="false">IF(B700="","",IFERROR(INDEX('Mug Marks'!$A$5:$A$204,MATCH(B700,'Mug Marks'!$B$5:$B$204,0)),"(not on Mug Marks)"))</f>
        <v/>
      </c>
      <c r="D700" s="6"/>
      <c r="E700" s="4"/>
      <c r="F700" s="4"/>
      <c r="G700" s="8" t="str">
        <f aca="false">IF(A700="","",A700+Settings!$B$6/24)</f>
        <v/>
      </c>
    </row>
    <row r="701" customFormat="false" ht="15" hidden="false" customHeight="false" outlineLevel="0" collapsed="false">
      <c r="A701" s="14"/>
      <c r="B701" s="5"/>
      <c r="C701" s="15" t="str">
        <f aca="false">IF(B701="","",IFERROR(INDEX('Mug Marks'!$A$5:$A$204,MATCH(B701,'Mug Marks'!$B$5:$B$204,0)),"(not on Mug Marks)"))</f>
        <v/>
      </c>
      <c r="D701" s="6"/>
      <c r="E701" s="4"/>
      <c r="F701" s="4"/>
      <c r="G701" s="8" t="str">
        <f aca="false">IF(A701="","",A701+Settings!$B$6/24)</f>
        <v/>
      </c>
    </row>
    <row r="702" customFormat="false" ht="15" hidden="false" customHeight="false" outlineLevel="0" collapsed="false">
      <c r="A702" s="14"/>
      <c r="B702" s="5"/>
      <c r="C702" s="15" t="str">
        <f aca="false">IF(B702="","",IFERROR(INDEX('Mug Marks'!$A$5:$A$204,MATCH(B702,'Mug Marks'!$B$5:$B$204,0)),"(not on Mug Marks)"))</f>
        <v/>
      </c>
      <c r="D702" s="6"/>
      <c r="E702" s="4"/>
      <c r="F702" s="4"/>
      <c r="G702" s="8" t="str">
        <f aca="false">IF(A702="","",A702+Settings!$B$6/24)</f>
        <v/>
      </c>
    </row>
    <row r="703" customFormat="false" ht="15" hidden="false" customHeight="false" outlineLevel="0" collapsed="false">
      <c r="A703" s="14"/>
      <c r="B703" s="5"/>
      <c r="C703" s="15" t="str">
        <f aca="false">IF(B703="","",IFERROR(INDEX('Mug Marks'!$A$5:$A$204,MATCH(B703,'Mug Marks'!$B$5:$B$204,0)),"(not on Mug Marks)"))</f>
        <v/>
      </c>
      <c r="D703" s="6"/>
      <c r="E703" s="4"/>
      <c r="F703" s="4"/>
      <c r="G703" s="8" t="str">
        <f aca="false">IF(A703="","",A703+Settings!$B$6/24)</f>
        <v/>
      </c>
    </row>
    <row r="704" customFormat="false" ht="15" hidden="false" customHeight="false" outlineLevel="0" collapsed="false">
      <c r="A704" s="14"/>
      <c r="B704" s="5"/>
      <c r="C704" s="15" t="str">
        <f aca="false">IF(B704="","",IFERROR(INDEX('Mug Marks'!$A$5:$A$204,MATCH(B704,'Mug Marks'!$B$5:$B$204,0)),"(not on Mug Marks)"))</f>
        <v/>
      </c>
      <c r="D704" s="6"/>
      <c r="E704" s="4"/>
      <c r="F704" s="4"/>
      <c r="G704" s="8" t="str">
        <f aca="false">IF(A704="","",A704+Settings!$B$6/24)</f>
        <v/>
      </c>
    </row>
    <row r="705" customFormat="false" ht="15" hidden="false" customHeight="false" outlineLevel="0" collapsed="false">
      <c r="A705" s="14"/>
      <c r="B705" s="5"/>
      <c r="C705" s="15" t="str">
        <f aca="false">IF(B705="","",IFERROR(INDEX('Mug Marks'!$A$5:$A$204,MATCH(B705,'Mug Marks'!$B$5:$B$204,0)),"(not on Mug Marks)"))</f>
        <v/>
      </c>
      <c r="D705" s="6"/>
      <c r="E705" s="4"/>
      <c r="F705" s="4"/>
      <c r="G705" s="8" t="str">
        <f aca="false">IF(A705="","",A705+Settings!$B$6/24)</f>
        <v/>
      </c>
    </row>
    <row r="706" customFormat="false" ht="15" hidden="false" customHeight="false" outlineLevel="0" collapsed="false">
      <c r="A706" s="14"/>
      <c r="B706" s="5"/>
      <c r="C706" s="15" t="str">
        <f aca="false">IF(B706="","",IFERROR(INDEX('Mug Marks'!$A$5:$A$204,MATCH(B706,'Mug Marks'!$B$5:$B$204,0)),"(not on Mug Marks)"))</f>
        <v/>
      </c>
      <c r="D706" s="6"/>
      <c r="E706" s="4"/>
      <c r="F706" s="4"/>
      <c r="G706" s="8" t="str">
        <f aca="false">IF(A706="","",A706+Settings!$B$6/24)</f>
        <v/>
      </c>
    </row>
    <row r="707" customFormat="false" ht="15" hidden="false" customHeight="false" outlineLevel="0" collapsed="false">
      <c r="A707" s="14"/>
      <c r="B707" s="5"/>
      <c r="C707" s="15" t="str">
        <f aca="false">IF(B707="","",IFERROR(INDEX('Mug Marks'!$A$5:$A$204,MATCH(B707,'Mug Marks'!$B$5:$B$204,0)),"(not on Mug Marks)"))</f>
        <v/>
      </c>
      <c r="D707" s="6"/>
      <c r="E707" s="4"/>
      <c r="F707" s="4"/>
      <c r="G707" s="8" t="str">
        <f aca="false">IF(A707="","",A707+Settings!$B$6/24)</f>
        <v/>
      </c>
    </row>
    <row r="708" customFormat="false" ht="15" hidden="false" customHeight="false" outlineLevel="0" collapsed="false">
      <c r="A708" s="14"/>
      <c r="B708" s="5"/>
      <c r="C708" s="15" t="str">
        <f aca="false">IF(B708="","",IFERROR(INDEX('Mug Marks'!$A$5:$A$204,MATCH(B708,'Mug Marks'!$B$5:$B$204,0)),"(not on Mug Marks)"))</f>
        <v/>
      </c>
      <c r="D708" s="6"/>
      <c r="E708" s="4"/>
      <c r="F708" s="4"/>
      <c r="G708" s="8" t="str">
        <f aca="false">IF(A708="","",A708+Settings!$B$6/24)</f>
        <v/>
      </c>
    </row>
    <row r="709" customFormat="false" ht="15" hidden="false" customHeight="false" outlineLevel="0" collapsed="false">
      <c r="A709" s="14"/>
      <c r="B709" s="5"/>
      <c r="C709" s="15" t="str">
        <f aca="false">IF(B709="","",IFERROR(INDEX('Mug Marks'!$A$5:$A$204,MATCH(B709,'Mug Marks'!$B$5:$B$204,0)),"(not on Mug Marks)"))</f>
        <v/>
      </c>
      <c r="D709" s="6"/>
      <c r="E709" s="4"/>
      <c r="F709" s="4"/>
      <c r="G709" s="8" t="str">
        <f aca="false">IF(A709="","",A709+Settings!$B$6/24)</f>
        <v/>
      </c>
    </row>
    <row r="710" customFormat="false" ht="15" hidden="false" customHeight="false" outlineLevel="0" collapsed="false">
      <c r="A710" s="14"/>
      <c r="B710" s="5"/>
      <c r="C710" s="15" t="str">
        <f aca="false">IF(B710="","",IFERROR(INDEX('Mug Marks'!$A$5:$A$204,MATCH(B710,'Mug Marks'!$B$5:$B$204,0)),"(not on Mug Marks)"))</f>
        <v/>
      </c>
      <c r="D710" s="6"/>
      <c r="E710" s="4"/>
      <c r="F710" s="4"/>
      <c r="G710" s="8" t="str">
        <f aca="false">IF(A710="","",A710+Settings!$B$6/24)</f>
        <v/>
      </c>
    </row>
    <row r="711" customFormat="false" ht="15" hidden="false" customHeight="false" outlineLevel="0" collapsed="false">
      <c r="A711" s="14"/>
      <c r="B711" s="5"/>
      <c r="C711" s="15" t="str">
        <f aca="false">IF(B711="","",IFERROR(INDEX('Mug Marks'!$A$5:$A$204,MATCH(B711,'Mug Marks'!$B$5:$B$204,0)),"(not on Mug Marks)"))</f>
        <v/>
      </c>
      <c r="D711" s="6"/>
      <c r="E711" s="4"/>
      <c r="F711" s="4"/>
      <c r="G711" s="8" t="str">
        <f aca="false">IF(A711="","",A711+Settings!$B$6/24)</f>
        <v/>
      </c>
    </row>
    <row r="712" customFormat="false" ht="15" hidden="false" customHeight="false" outlineLevel="0" collapsed="false">
      <c r="A712" s="14"/>
      <c r="B712" s="5"/>
      <c r="C712" s="15" t="str">
        <f aca="false">IF(B712="","",IFERROR(INDEX('Mug Marks'!$A$5:$A$204,MATCH(B712,'Mug Marks'!$B$5:$B$204,0)),"(not on Mug Marks)"))</f>
        <v/>
      </c>
      <c r="D712" s="6"/>
      <c r="E712" s="4"/>
      <c r="F712" s="4"/>
      <c r="G712" s="8" t="str">
        <f aca="false">IF(A712="","",A712+Settings!$B$6/24)</f>
        <v/>
      </c>
    </row>
    <row r="713" customFormat="false" ht="15" hidden="false" customHeight="false" outlineLevel="0" collapsed="false">
      <c r="A713" s="14"/>
      <c r="B713" s="5"/>
      <c r="C713" s="15" t="str">
        <f aca="false">IF(B713="","",IFERROR(INDEX('Mug Marks'!$A$5:$A$204,MATCH(B713,'Mug Marks'!$B$5:$B$204,0)),"(not on Mug Marks)"))</f>
        <v/>
      </c>
      <c r="D713" s="6"/>
      <c r="E713" s="4"/>
      <c r="F713" s="4"/>
      <c r="G713" s="8" t="str">
        <f aca="false">IF(A713="","",A713+Settings!$B$6/24)</f>
        <v/>
      </c>
    </row>
    <row r="714" customFormat="false" ht="15" hidden="false" customHeight="false" outlineLevel="0" collapsed="false">
      <c r="A714" s="14"/>
      <c r="B714" s="5"/>
      <c r="C714" s="15" t="str">
        <f aca="false">IF(B714="","",IFERROR(INDEX('Mug Marks'!$A$5:$A$204,MATCH(B714,'Mug Marks'!$B$5:$B$204,0)),"(not on Mug Marks)"))</f>
        <v/>
      </c>
      <c r="D714" s="6"/>
      <c r="E714" s="4"/>
      <c r="F714" s="4"/>
      <c r="G714" s="8" t="str">
        <f aca="false">IF(A714="","",A714+Settings!$B$6/24)</f>
        <v/>
      </c>
    </row>
    <row r="715" customFormat="false" ht="15" hidden="false" customHeight="false" outlineLevel="0" collapsed="false">
      <c r="A715" s="14"/>
      <c r="B715" s="5"/>
      <c r="C715" s="15" t="str">
        <f aca="false">IF(B715="","",IFERROR(INDEX('Mug Marks'!$A$5:$A$204,MATCH(B715,'Mug Marks'!$B$5:$B$204,0)),"(not on Mug Marks)"))</f>
        <v/>
      </c>
      <c r="D715" s="6"/>
      <c r="E715" s="4"/>
      <c r="F715" s="4"/>
      <c r="G715" s="8" t="str">
        <f aca="false">IF(A715="","",A715+Settings!$B$6/24)</f>
        <v/>
      </c>
    </row>
    <row r="716" customFormat="false" ht="15" hidden="false" customHeight="false" outlineLevel="0" collapsed="false">
      <c r="A716" s="14"/>
      <c r="B716" s="5"/>
      <c r="C716" s="15" t="str">
        <f aca="false">IF(B716="","",IFERROR(INDEX('Mug Marks'!$A$5:$A$204,MATCH(B716,'Mug Marks'!$B$5:$B$204,0)),"(not on Mug Marks)"))</f>
        <v/>
      </c>
      <c r="D716" s="6"/>
      <c r="E716" s="4"/>
      <c r="F716" s="4"/>
      <c r="G716" s="8" t="str">
        <f aca="false">IF(A716="","",A716+Settings!$B$6/24)</f>
        <v/>
      </c>
    </row>
    <row r="717" customFormat="false" ht="15" hidden="false" customHeight="false" outlineLevel="0" collapsed="false">
      <c r="A717" s="14"/>
      <c r="B717" s="5"/>
      <c r="C717" s="15" t="str">
        <f aca="false">IF(B717="","",IFERROR(INDEX('Mug Marks'!$A$5:$A$204,MATCH(B717,'Mug Marks'!$B$5:$B$204,0)),"(not on Mug Marks)"))</f>
        <v/>
      </c>
      <c r="D717" s="6"/>
      <c r="E717" s="4"/>
      <c r="F717" s="4"/>
      <c r="G717" s="8" t="str">
        <f aca="false">IF(A717="","",A717+Settings!$B$6/24)</f>
        <v/>
      </c>
    </row>
    <row r="718" customFormat="false" ht="15" hidden="false" customHeight="false" outlineLevel="0" collapsed="false">
      <c r="A718" s="14"/>
      <c r="B718" s="5"/>
      <c r="C718" s="15" t="str">
        <f aca="false">IF(B718="","",IFERROR(INDEX('Mug Marks'!$A$5:$A$204,MATCH(B718,'Mug Marks'!$B$5:$B$204,0)),"(not on Mug Marks)"))</f>
        <v/>
      </c>
      <c r="D718" s="6"/>
      <c r="E718" s="4"/>
      <c r="F718" s="4"/>
      <c r="G718" s="8" t="str">
        <f aca="false">IF(A718="","",A718+Settings!$B$6/24)</f>
        <v/>
      </c>
    </row>
    <row r="719" customFormat="false" ht="15" hidden="false" customHeight="false" outlineLevel="0" collapsed="false">
      <c r="A719" s="14"/>
      <c r="B719" s="5"/>
      <c r="C719" s="15" t="str">
        <f aca="false">IF(B719="","",IFERROR(INDEX('Mug Marks'!$A$5:$A$204,MATCH(B719,'Mug Marks'!$B$5:$B$204,0)),"(not on Mug Marks)"))</f>
        <v/>
      </c>
      <c r="D719" s="6"/>
      <c r="E719" s="4"/>
      <c r="F719" s="4"/>
      <c r="G719" s="8" t="str">
        <f aca="false">IF(A719="","",A719+Settings!$B$6/24)</f>
        <v/>
      </c>
    </row>
    <row r="720" customFormat="false" ht="15" hidden="false" customHeight="false" outlineLevel="0" collapsed="false">
      <c r="A720" s="14"/>
      <c r="B720" s="5"/>
      <c r="C720" s="15" t="str">
        <f aca="false">IF(B720="","",IFERROR(INDEX('Mug Marks'!$A$5:$A$204,MATCH(B720,'Mug Marks'!$B$5:$B$204,0)),"(not on Mug Marks)"))</f>
        <v/>
      </c>
      <c r="D720" s="6"/>
      <c r="E720" s="4"/>
      <c r="F720" s="4"/>
      <c r="G720" s="8" t="str">
        <f aca="false">IF(A720="","",A720+Settings!$B$6/24)</f>
        <v/>
      </c>
    </row>
    <row r="721" customFormat="false" ht="15" hidden="false" customHeight="false" outlineLevel="0" collapsed="false">
      <c r="A721" s="14"/>
      <c r="B721" s="5"/>
      <c r="C721" s="15" t="str">
        <f aca="false">IF(B721="","",IFERROR(INDEX('Mug Marks'!$A$5:$A$204,MATCH(B721,'Mug Marks'!$B$5:$B$204,0)),"(not on Mug Marks)"))</f>
        <v/>
      </c>
      <c r="D721" s="6"/>
      <c r="E721" s="4"/>
      <c r="F721" s="4"/>
      <c r="G721" s="8" t="str">
        <f aca="false">IF(A721="","",A721+Settings!$B$6/24)</f>
        <v/>
      </c>
    </row>
    <row r="722" customFormat="false" ht="15" hidden="false" customHeight="false" outlineLevel="0" collapsed="false">
      <c r="A722" s="14"/>
      <c r="B722" s="5"/>
      <c r="C722" s="15" t="str">
        <f aca="false">IF(B722="","",IFERROR(INDEX('Mug Marks'!$A$5:$A$204,MATCH(B722,'Mug Marks'!$B$5:$B$204,0)),"(not on Mug Marks)"))</f>
        <v/>
      </c>
      <c r="D722" s="6"/>
      <c r="E722" s="4"/>
      <c r="F722" s="4"/>
      <c r="G722" s="8" t="str">
        <f aca="false">IF(A722="","",A722+Settings!$B$6/24)</f>
        <v/>
      </c>
    </row>
    <row r="723" customFormat="false" ht="15" hidden="false" customHeight="false" outlineLevel="0" collapsed="false">
      <c r="A723" s="14"/>
      <c r="B723" s="5"/>
      <c r="C723" s="15" t="str">
        <f aca="false">IF(B723="","",IFERROR(INDEX('Mug Marks'!$A$5:$A$204,MATCH(B723,'Mug Marks'!$B$5:$B$204,0)),"(not on Mug Marks)"))</f>
        <v/>
      </c>
      <c r="D723" s="6"/>
      <c r="E723" s="4"/>
      <c r="F723" s="4"/>
      <c r="G723" s="8" t="str">
        <f aca="false">IF(A723="","",A723+Settings!$B$6/24)</f>
        <v/>
      </c>
    </row>
    <row r="724" customFormat="false" ht="15" hidden="false" customHeight="false" outlineLevel="0" collapsed="false">
      <c r="A724" s="14"/>
      <c r="B724" s="5"/>
      <c r="C724" s="15" t="str">
        <f aca="false">IF(B724="","",IFERROR(INDEX('Mug Marks'!$A$5:$A$204,MATCH(B724,'Mug Marks'!$B$5:$B$204,0)),"(not on Mug Marks)"))</f>
        <v/>
      </c>
      <c r="D724" s="6"/>
      <c r="E724" s="4"/>
      <c r="F724" s="4"/>
      <c r="G724" s="8" t="str">
        <f aca="false">IF(A724="","",A724+Settings!$B$6/24)</f>
        <v/>
      </c>
    </row>
    <row r="725" customFormat="false" ht="15" hidden="false" customHeight="false" outlineLevel="0" collapsed="false">
      <c r="A725" s="14"/>
      <c r="B725" s="5"/>
      <c r="C725" s="15" t="str">
        <f aca="false">IF(B725="","",IFERROR(INDEX('Mug Marks'!$A$5:$A$204,MATCH(B725,'Mug Marks'!$B$5:$B$204,0)),"(not on Mug Marks)"))</f>
        <v/>
      </c>
      <c r="D725" s="6"/>
      <c r="E725" s="4"/>
      <c r="F725" s="4"/>
      <c r="G725" s="8" t="str">
        <f aca="false">IF(A725="","",A725+Settings!$B$6/24)</f>
        <v/>
      </c>
    </row>
    <row r="726" customFormat="false" ht="15" hidden="false" customHeight="false" outlineLevel="0" collapsed="false">
      <c r="A726" s="14"/>
      <c r="B726" s="5"/>
      <c r="C726" s="15" t="str">
        <f aca="false">IF(B726="","",IFERROR(INDEX('Mug Marks'!$A$5:$A$204,MATCH(B726,'Mug Marks'!$B$5:$B$204,0)),"(not on Mug Marks)"))</f>
        <v/>
      </c>
      <c r="D726" s="6"/>
      <c r="E726" s="4"/>
      <c r="F726" s="4"/>
      <c r="G726" s="8" t="str">
        <f aca="false">IF(A726="","",A726+Settings!$B$6/24)</f>
        <v/>
      </c>
    </row>
    <row r="727" customFormat="false" ht="15" hidden="false" customHeight="false" outlineLevel="0" collapsed="false">
      <c r="A727" s="14"/>
      <c r="B727" s="5"/>
      <c r="C727" s="15" t="str">
        <f aca="false">IF(B727="","",IFERROR(INDEX('Mug Marks'!$A$5:$A$204,MATCH(B727,'Mug Marks'!$B$5:$B$204,0)),"(not on Mug Marks)"))</f>
        <v/>
      </c>
      <c r="D727" s="6"/>
      <c r="E727" s="4"/>
      <c r="F727" s="4"/>
      <c r="G727" s="8" t="str">
        <f aca="false">IF(A727="","",A727+Settings!$B$6/24)</f>
        <v/>
      </c>
    </row>
    <row r="728" customFormat="false" ht="15" hidden="false" customHeight="false" outlineLevel="0" collapsed="false">
      <c r="A728" s="14"/>
      <c r="B728" s="5"/>
      <c r="C728" s="15" t="str">
        <f aca="false">IF(B728="","",IFERROR(INDEX('Mug Marks'!$A$5:$A$204,MATCH(B728,'Mug Marks'!$B$5:$B$204,0)),"(not on Mug Marks)"))</f>
        <v/>
      </c>
      <c r="D728" s="6"/>
      <c r="E728" s="4"/>
      <c r="F728" s="4"/>
      <c r="G728" s="8" t="str">
        <f aca="false">IF(A728="","",A728+Settings!$B$6/24)</f>
        <v/>
      </c>
    </row>
    <row r="729" customFormat="false" ht="15" hidden="false" customHeight="false" outlineLevel="0" collapsed="false">
      <c r="A729" s="14"/>
      <c r="B729" s="5"/>
      <c r="C729" s="15" t="str">
        <f aca="false">IF(B729="","",IFERROR(INDEX('Mug Marks'!$A$5:$A$204,MATCH(B729,'Mug Marks'!$B$5:$B$204,0)),"(not on Mug Marks)"))</f>
        <v/>
      </c>
      <c r="D729" s="6"/>
      <c r="E729" s="4"/>
      <c r="F729" s="4"/>
      <c r="G729" s="8" t="str">
        <f aca="false">IF(A729="","",A729+Settings!$B$6/24)</f>
        <v/>
      </c>
    </row>
    <row r="730" customFormat="false" ht="15" hidden="false" customHeight="false" outlineLevel="0" collapsed="false">
      <c r="A730" s="14"/>
      <c r="B730" s="5"/>
      <c r="C730" s="15" t="str">
        <f aca="false">IF(B730="","",IFERROR(INDEX('Mug Marks'!$A$5:$A$204,MATCH(B730,'Mug Marks'!$B$5:$B$204,0)),"(not on Mug Marks)"))</f>
        <v/>
      </c>
      <c r="D730" s="6"/>
      <c r="E730" s="4"/>
      <c r="F730" s="4"/>
      <c r="G730" s="8" t="str">
        <f aca="false">IF(A730="","",A730+Settings!$B$6/24)</f>
        <v/>
      </c>
    </row>
    <row r="731" customFormat="false" ht="15" hidden="false" customHeight="false" outlineLevel="0" collapsed="false">
      <c r="A731" s="14"/>
      <c r="B731" s="5"/>
      <c r="C731" s="15" t="str">
        <f aca="false">IF(B731="","",IFERROR(INDEX('Mug Marks'!$A$5:$A$204,MATCH(B731,'Mug Marks'!$B$5:$B$204,0)),"(not on Mug Marks)"))</f>
        <v/>
      </c>
      <c r="D731" s="6"/>
      <c r="E731" s="4"/>
      <c r="F731" s="4"/>
      <c r="G731" s="8" t="str">
        <f aca="false">IF(A731="","",A731+Settings!$B$6/24)</f>
        <v/>
      </c>
    </row>
    <row r="732" customFormat="false" ht="15" hidden="false" customHeight="false" outlineLevel="0" collapsed="false">
      <c r="A732" s="14"/>
      <c r="B732" s="5"/>
      <c r="C732" s="15" t="str">
        <f aca="false">IF(B732="","",IFERROR(INDEX('Mug Marks'!$A$5:$A$204,MATCH(B732,'Mug Marks'!$B$5:$B$204,0)),"(not on Mug Marks)"))</f>
        <v/>
      </c>
      <c r="D732" s="6"/>
      <c r="E732" s="4"/>
      <c r="F732" s="4"/>
      <c r="G732" s="8" t="str">
        <f aca="false">IF(A732="","",A732+Settings!$B$6/24)</f>
        <v/>
      </c>
    </row>
    <row r="733" customFormat="false" ht="15" hidden="false" customHeight="false" outlineLevel="0" collapsed="false">
      <c r="A733" s="14"/>
      <c r="B733" s="5"/>
      <c r="C733" s="15" t="str">
        <f aca="false">IF(B733="","",IFERROR(INDEX('Mug Marks'!$A$5:$A$204,MATCH(B733,'Mug Marks'!$B$5:$B$204,0)),"(not on Mug Marks)"))</f>
        <v/>
      </c>
      <c r="D733" s="6"/>
      <c r="E733" s="4"/>
      <c r="F733" s="4"/>
      <c r="G733" s="8" t="str">
        <f aca="false">IF(A733="","",A733+Settings!$B$6/24)</f>
        <v/>
      </c>
    </row>
    <row r="734" customFormat="false" ht="15" hidden="false" customHeight="false" outlineLevel="0" collapsed="false">
      <c r="A734" s="14"/>
      <c r="B734" s="5"/>
      <c r="C734" s="15" t="str">
        <f aca="false">IF(B734="","",IFERROR(INDEX('Mug Marks'!$A$5:$A$204,MATCH(B734,'Mug Marks'!$B$5:$B$204,0)),"(not on Mug Marks)"))</f>
        <v/>
      </c>
      <c r="D734" s="6"/>
      <c r="E734" s="4"/>
      <c r="F734" s="4"/>
      <c r="G734" s="8" t="str">
        <f aca="false">IF(A734="","",A734+Settings!$B$6/24)</f>
        <v/>
      </c>
    </row>
    <row r="735" customFormat="false" ht="15" hidden="false" customHeight="false" outlineLevel="0" collapsed="false">
      <c r="A735" s="14"/>
      <c r="B735" s="5"/>
      <c r="C735" s="15" t="str">
        <f aca="false">IF(B735="","",IFERROR(INDEX('Mug Marks'!$A$5:$A$204,MATCH(B735,'Mug Marks'!$B$5:$B$204,0)),"(not on Mug Marks)"))</f>
        <v/>
      </c>
      <c r="D735" s="6"/>
      <c r="E735" s="4"/>
      <c r="F735" s="4"/>
      <c r="G735" s="8" t="str">
        <f aca="false">IF(A735="","",A735+Settings!$B$6/24)</f>
        <v/>
      </c>
    </row>
    <row r="736" customFormat="false" ht="15" hidden="false" customHeight="false" outlineLevel="0" collapsed="false">
      <c r="A736" s="14"/>
      <c r="B736" s="5"/>
      <c r="C736" s="15" t="str">
        <f aca="false">IF(B736="","",IFERROR(INDEX('Mug Marks'!$A$5:$A$204,MATCH(B736,'Mug Marks'!$B$5:$B$204,0)),"(not on Mug Marks)"))</f>
        <v/>
      </c>
      <c r="D736" s="6"/>
      <c r="E736" s="4"/>
      <c r="F736" s="4"/>
      <c r="G736" s="8" t="str">
        <f aca="false">IF(A736="","",A736+Settings!$B$6/24)</f>
        <v/>
      </c>
    </row>
    <row r="737" customFormat="false" ht="15" hidden="false" customHeight="false" outlineLevel="0" collapsed="false">
      <c r="A737" s="14"/>
      <c r="B737" s="5"/>
      <c r="C737" s="15" t="str">
        <f aca="false">IF(B737="","",IFERROR(INDEX('Mug Marks'!$A$5:$A$204,MATCH(B737,'Mug Marks'!$B$5:$B$204,0)),"(not on Mug Marks)"))</f>
        <v/>
      </c>
      <c r="D737" s="6"/>
      <c r="E737" s="4"/>
      <c r="F737" s="4"/>
      <c r="G737" s="8" t="str">
        <f aca="false">IF(A737="","",A737+Settings!$B$6/24)</f>
        <v/>
      </c>
    </row>
    <row r="738" customFormat="false" ht="15" hidden="false" customHeight="false" outlineLevel="0" collapsed="false">
      <c r="A738" s="14"/>
      <c r="B738" s="5"/>
      <c r="C738" s="15" t="str">
        <f aca="false">IF(B738="","",IFERROR(INDEX('Mug Marks'!$A$5:$A$204,MATCH(B738,'Mug Marks'!$B$5:$B$204,0)),"(not on Mug Marks)"))</f>
        <v/>
      </c>
      <c r="D738" s="6"/>
      <c r="E738" s="4"/>
      <c r="F738" s="4"/>
      <c r="G738" s="8" t="str">
        <f aca="false">IF(A738="","",A738+Settings!$B$6/24)</f>
        <v/>
      </c>
    </row>
    <row r="739" customFormat="false" ht="15" hidden="false" customHeight="false" outlineLevel="0" collapsed="false">
      <c r="A739" s="14"/>
      <c r="B739" s="5"/>
      <c r="C739" s="15" t="str">
        <f aca="false">IF(B739="","",IFERROR(INDEX('Mug Marks'!$A$5:$A$204,MATCH(B739,'Mug Marks'!$B$5:$B$204,0)),"(not on Mug Marks)"))</f>
        <v/>
      </c>
      <c r="D739" s="6"/>
      <c r="E739" s="4"/>
      <c r="F739" s="4"/>
      <c r="G739" s="8" t="str">
        <f aca="false">IF(A739="","",A739+Settings!$B$6/24)</f>
        <v/>
      </c>
    </row>
    <row r="740" customFormat="false" ht="15" hidden="false" customHeight="false" outlineLevel="0" collapsed="false">
      <c r="A740" s="14"/>
      <c r="B740" s="5"/>
      <c r="C740" s="15" t="str">
        <f aca="false">IF(B740="","",IFERROR(INDEX('Mug Marks'!$A$5:$A$204,MATCH(B740,'Mug Marks'!$B$5:$B$204,0)),"(not on Mug Marks)"))</f>
        <v/>
      </c>
      <c r="D740" s="6"/>
      <c r="E740" s="4"/>
      <c r="F740" s="4"/>
      <c r="G740" s="8" t="str">
        <f aca="false">IF(A740="","",A740+Settings!$B$6/24)</f>
        <v/>
      </c>
    </row>
    <row r="741" customFormat="false" ht="15" hidden="false" customHeight="false" outlineLevel="0" collapsed="false">
      <c r="A741" s="14"/>
      <c r="B741" s="5"/>
      <c r="C741" s="15" t="str">
        <f aca="false">IF(B741="","",IFERROR(INDEX('Mug Marks'!$A$5:$A$204,MATCH(B741,'Mug Marks'!$B$5:$B$204,0)),"(not on Mug Marks)"))</f>
        <v/>
      </c>
      <c r="D741" s="6"/>
      <c r="E741" s="4"/>
      <c r="F741" s="4"/>
      <c r="G741" s="8" t="str">
        <f aca="false">IF(A741="","",A741+Settings!$B$6/24)</f>
        <v/>
      </c>
    </row>
    <row r="742" customFormat="false" ht="15" hidden="false" customHeight="false" outlineLevel="0" collapsed="false">
      <c r="A742" s="14"/>
      <c r="B742" s="5"/>
      <c r="C742" s="15" t="str">
        <f aca="false">IF(B742="","",IFERROR(INDEX('Mug Marks'!$A$5:$A$204,MATCH(B742,'Mug Marks'!$B$5:$B$204,0)),"(not on Mug Marks)"))</f>
        <v/>
      </c>
      <c r="D742" s="6"/>
      <c r="E742" s="4"/>
      <c r="F742" s="4"/>
      <c r="G742" s="8" t="str">
        <f aca="false">IF(A742="","",A742+Settings!$B$6/24)</f>
        <v/>
      </c>
    </row>
    <row r="743" customFormat="false" ht="15" hidden="false" customHeight="false" outlineLevel="0" collapsed="false">
      <c r="A743" s="14"/>
      <c r="B743" s="5"/>
      <c r="C743" s="15" t="str">
        <f aca="false">IF(B743="","",IFERROR(INDEX('Mug Marks'!$A$5:$A$204,MATCH(B743,'Mug Marks'!$B$5:$B$204,0)),"(not on Mug Marks)"))</f>
        <v/>
      </c>
      <c r="D743" s="6"/>
      <c r="E743" s="4"/>
      <c r="F743" s="4"/>
      <c r="G743" s="8" t="str">
        <f aca="false">IF(A743="","",A743+Settings!$B$6/24)</f>
        <v/>
      </c>
    </row>
    <row r="744" customFormat="false" ht="15" hidden="false" customHeight="false" outlineLevel="0" collapsed="false">
      <c r="A744" s="14"/>
      <c r="B744" s="5"/>
      <c r="C744" s="15" t="str">
        <f aca="false">IF(B744="","",IFERROR(INDEX('Mug Marks'!$A$5:$A$204,MATCH(B744,'Mug Marks'!$B$5:$B$204,0)),"(not on Mug Marks)"))</f>
        <v/>
      </c>
      <c r="D744" s="6"/>
      <c r="E744" s="4"/>
      <c r="F744" s="4"/>
      <c r="G744" s="8" t="str">
        <f aca="false">IF(A744="","",A744+Settings!$B$6/24)</f>
        <v/>
      </c>
    </row>
    <row r="745" customFormat="false" ht="15" hidden="false" customHeight="false" outlineLevel="0" collapsed="false">
      <c r="A745" s="14"/>
      <c r="B745" s="5"/>
      <c r="C745" s="15" t="str">
        <f aca="false">IF(B745="","",IFERROR(INDEX('Mug Marks'!$A$5:$A$204,MATCH(B745,'Mug Marks'!$B$5:$B$204,0)),"(not on Mug Marks)"))</f>
        <v/>
      </c>
      <c r="D745" s="6"/>
      <c r="E745" s="4"/>
      <c r="F745" s="4"/>
      <c r="G745" s="8" t="str">
        <f aca="false">IF(A745="","",A745+Settings!$B$6/24)</f>
        <v/>
      </c>
    </row>
    <row r="746" customFormat="false" ht="15" hidden="false" customHeight="false" outlineLevel="0" collapsed="false">
      <c r="A746" s="14"/>
      <c r="B746" s="5"/>
      <c r="C746" s="15" t="str">
        <f aca="false">IF(B746="","",IFERROR(INDEX('Mug Marks'!$A$5:$A$204,MATCH(B746,'Mug Marks'!$B$5:$B$204,0)),"(not on Mug Marks)"))</f>
        <v/>
      </c>
      <c r="D746" s="6"/>
      <c r="E746" s="4"/>
      <c r="F746" s="4"/>
      <c r="G746" s="8" t="str">
        <f aca="false">IF(A746="","",A746+Settings!$B$6/24)</f>
        <v/>
      </c>
    </row>
    <row r="747" customFormat="false" ht="15" hidden="false" customHeight="false" outlineLevel="0" collapsed="false">
      <c r="A747" s="14"/>
      <c r="B747" s="5"/>
      <c r="C747" s="15" t="str">
        <f aca="false">IF(B747="","",IFERROR(INDEX('Mug Marks'!$A$5:$A$204,MATCH(B747,'Mug Marks'!$B$5:$B$204,0)),"(not on Mug Marks)"))</f>
        <v/>
      </c>
      <c r="D747" s="6"/>
      <c r="E747" s="4"/>
      <c r="F747" s="4"/>
      <c r="G747" s="8" t="str">
        <f aca="false">IF(A747="","",A747+Settings!$B$6/24)</f>
        <v/>
      </c>
    </row>
    <row r="748" customFormat="false" ht="15" hidden="false" customHeight="false" outlineLevel="0" collapsed="false">
      <c r="A748" s="14"/>
      <c r="B748" s="5"/>
      <c r="C748" s="15" t="str">
        <f aca="false">IF(B748="","",IFERROR(INDEX('Mug Marks'!$A$5:$A$204,MATCH(B748,'Mug Marks'!$B$5:$B$204,0)),"(not on Mug Marks)"))</f>
        <v/>
      </c>
      <c r="D748" s="6"/>
      <c r="E748" s="4"/>
      <c r="F748" s="4"/>
      <c r="G748" s="8" t="str">
        <f aca="false">IF(A748="","",A748+Settings!$B$6/24)</f>
        <v/>
      </c>
    </row>
    <row r="749" customFormat="false" ht="15" hidden="false" customHeight="false" outlineLevel="0" collapsed="false">
      <c r="A749" s="14"/>
      <c r="B749" s="5"/>
      <c r="C749" s="15" t="str">
        <f aca="false">IF(B749="","",IFERROR(INDEX('Mug Marks'!$A$5:$A$204,MATCH(B749,'Mug Marks'!$B$5:$B$204,0)),"(not on Mug Marks)"))</f>
        <v/>
      </c>
      <c r="D749" s="6"/>
      <c r="E749" s="4"/>
      <c r="F749" s="4"/>
      <c r="G749" s="8" t="str">
        <f aca="false">IF(A749="","",A749+Settings!$B$6/24)</f>
        <v/>
      </c>
    </row>
    <row r="750" customFormat="false" ht="15" hidden="false" customHeight="false" outlineLevel="0" collapsed="false">
      <c r="A750" s="14"/>
      <c r="B750" s="5"/>
      <c r="C750" s="15" t="str">
        <f aca="false">IF(B750="","",IFERROR(INDEX('Mug Marks'!$A$5:$A$204,MATCH(B750,'Mug Marks'!$B$5:$B$204,0)),"(not on Mug Marks)"))</f>
        <v/>
      </c>
      <c r="D750" s="6"/>
      <c r="E750" s="4"/>
      <c r="F750" s="4"/>
      <c r="G750" s="8" t="str">
        <f aca="false">IF(A750="","",A750+Settings!$B$6/24)</f>
        <v/>
      </c>
    </row>
    <row r="751" customFormat="false" ht="15" hidden="false" customHeight="false" outlineLevel="0" collapsed="false">
      <c r="A751" s="14"/>
      <c r="B751" s="5"/>
      <c r="C751" s="15" t="str">
        <f aca="false">IF(B751="","",IFERROR(INDEX('Mug Marks'!$A$5:$A$204,MATCH(B751,'Mug Marks'!$B$5:$B$204,0)),"(not on Mug Marks)"))</f>
        <v/>
      </c>
      <c r="D751" s="6"/>
      <c r="E751" s="4"/>
      <c r="F751" s="4"/>
      <c r="G751" s="8" t="str">
        <f aca="false">IF(A751="","",A751+Settings!$B$6/24)</f>
        <v/>
      </c>
    </row>
    <row r="752" customFormat="false" ht="15" hidden="false" customHeight="false" outlineLevel="0" collapsed="false">
      <c r="A752" s="14"/>
      <c r="B752" s="5"/>
      <c r="C752" s="15" t="str">
        <f aca="false">IF(B752="","",IFERROR(INDEX('Mug Marks'!$A$5:$A$204,MATCH(B752,'Mug Marks'!$B$5:$B$204,0)),"(not on Mug Marks)"))</f>
        <v/>
      </c>
      <c r="D752" s="6"/>
      <c r="E752" s="4"/>
      <c r="F752" s="4"/>
      <c r="G752" s="8" t="str">
        <f aca="false">IF(A752="","",A752+Settings!$B$6/24)</f>
        <v/>
      </c>
    </row>
    <row r="753" customFormat="false" ht="15" hidden="false" customHeight="false" outlineLevel="0" collapsed="false">
      <c r="A753" s="14"/>
      <c r="B753" s="5"/>
      <c r="C753" s="15" t="str">
        <f aca="false">IF(B753="","",IFERROR(INDEX('Mug Marks'!$A$5:$A$204,MATCH(B753,'Mug Marks'!$B$5:$B$204,0)),"(not on Mug Marks)"))</f>
        <v/>
      </c>
      <c r="D753" s="6"/>
      <c r="E753" s="4"/>
      <c r="F753" s="4"/>
      <c r="G753" s="8" t="str">
        <f aca="false">IF(A753="","",A753+Settings!$B$6/24)</f>
        <v/>
      </c>
    </row>
    <row r="754" customFormat="false" ht="15" hidden="false" customHeight="false" outlineLevel="0" collapsed="false">
      <c r="A754" s="14"/>
      <c r="B754" s="5"/>
      <c r="C754" s="15" t="str">
        <f aca="false">IF(B754="","",IFERROR(INDEX('Mug Marks'!$A$5:$A$204,MATCH(B754,'Mug Marks'!$B$5:$B$204,0)),"(not on Mug Marks)"))</f>
        <v/>
      </c>
      <c r="D754" s="6"/>
      <c r="E754" s="4"/>
      <c r="F754" s="4"/>
      <c r="G754" s="8" t="str">
        <f aca="false">IF(A754="","",A754+Settings!$B$6/24)</f>
        <v/>
      </c>
    </row>
    <row r="755" customFormat="false" ht="15" hidden="false" customHeight="false" outlineLevel="0" collapsed="false">
      <c r="A755" s="14"/>
      <c r="B755" s="5"/>
      <c r="C755" s="15" t="str">
        <f aca="false">IF(B755="","",IFERROR(INDEX('Mug Marks'!$A$5:$A$204,MATCH(B755,'Mug Marks'!$B$5:$B$204,0)),"(not on Mug Marks)"))</f>
        <v/>
      </c>
      <c r="D755" s="6"/>
      <c r="E755" s="4"/>
      <c r="F755" s="4"/>
      <c r="G755" s="8" t="str">
        <f aca="false">IF(A755="","",A755+Settings!$B$6/24)</f>
        <v/>
      </c>
    </row>
    <row r="756" customFormat="false" ht="15" hidden="false" customHeight="false" outlineLevel="0" collapsed="false">
      <c r="A756" s="14"/>
      <c r="B756" s="5"/>
      <c r="C756" s="15" t="str">
        <f aca="false">IF(B756="","",IFERROR(INDEX('Mug Marks'!$A$5:$A$204,MATCH(B756,'Mug Marks'!$B$5:$B$204,0)),"(not on Mug Marks)"))</f>
        <v/>
      </c>
      <c r="D756" s="6"/>
      <c r="E756" s="4"/>
      <c r="F756" s="4"/>
      <c r="G756" s="8" t="str">
        <f aca="false">IF(A756="","",A756+Settings!$B$6/24)</f>
        <v/>
      </c>
    </row>
    <row r="757" customFormat="false" ht="15" hidden="false" customHeight="false" outlineLevel="0" collapsed="false">
      <c r="A757" s="14"/>
      <c r="B757" s="5"/>
      <c r="C757" s="15" t="str">
        <f aca="false">IF(B757="","",IFERROR(INDEX('Mug Marks'!$A$5:$A$204,MATCH(B757,'Mug Marks'!$B$5:$B$204,0)),"(not on Mug Marks)"))</f>
        <v/>
      </c>
      <c r="D757" s="6"/>
      <c r="E757" s="4"/>
      <c r="F757" s="4"/>
      <c r="G757" s="8" t="str">
        <f aca="false">IF(A757="","",A757+Settings!$B$6/24)</f>
        <v/>
      </c>
    </row>
    <row r="758" customFormat="false" ht="15" hidden="false" customHeight="false" outlineLevel="0" collapsed="false">
      <c r="A758" s="14"/>
      <c r="B758" s="5"/>
      <c r="C758" s="15" t="str">
        <f aca="false">IF(B758="","",IFERROR(INDEX('Mug Marks'!$A$5:$A$204,MATCH(B758,'Mug Marks'!$B$5:$B$204,0)),"(not on Mug Marks)"))</f>
        <v/>
      </c>
      <c r="D758" s="6"/>
      <c r="E758" s="4"/>
      <c r="F758" s="4"/>
      <c r="G758" s="8" t="str">
        <f aca="false">IF(A758="","",A758+Settings!$B$6/24)</f>
        <v/>
      </c>
    </row>
    <row r="759" customFormat="false" ht="15" hidden="false" customHeight="false" outlineLevel="0" collapsed="false">
      <c r="A759" s="14"/>
      <c r="B759" s="5"/>
      <c r="C759" s="15" t="str">
        <f aca="false">IF(B759="","",IFERROR(INDEX('Mug Marks'!$A$5:$A$204,MATCH(B759,'Mug Marks'!$B$5:$B$204,0)),"(not on Mug Marks)"))</f>
        <v/>
      </c>
      <c r="D759" s="6"/>
      <c r="E759" s="4"/>
      <c r="F759" s="4"/>
      <c r="G759" s="8" t="str">
        <f aca="false">IF(A759="","",A759+Settings!$B$6/24)</f>
        <v/>
      </c>
    </row>
    <row r="760" customFormat="false" ht="15" hidden="false" customHeight="false" outlineLevel="0" collapsed="false">
      <c r="A760" s="14"/>
      <c r="B760" s="5"/>
      <c r="C760" s="15" t="str">
        <f aca="false">IF(B760="","",IFERROR(INDEX('Mug Marks'!$A$5:$A$204,MATCH(B760,'Mug Marks'!$B$5:$B$204,0)),"(not on Mug Marks)"))</f>
        <v/>
      </c>
      <c r="D760" s="6"/>
      <c r="E760" s="4"/>
      <c r="F760" s="4"/>
      <c r="G760" s="8" t="str">
        <f aca="false">IF(A760="","",A760+Settings!$B$6/24)</f>
        <v/>
      </c>
    </row>
    <row r="761" customFormat="false" ht="15" hidden="false" customHeight="false" outlineLevel="0" collapsed="false">
      <c r="A761" s="14"/>
      <c r="B761" s="5"/>
      <c r="C761" s="15" t="str">
        <f aca="false">IF(B761="","",IFERROR(INDEX('Mug Marks'!$A$5:$A$204,MATCH(B761,'Mug Marks'!$B$5:$B$204,0)),"(not on Mug Marks)"))</f>
        <v/>
      </c>
      <c r="D761" s="6"/>
      <c r="E761" s="4"/>
      <c r="F761" s="4"/>
      <c r="G761" s="8" t="str">
        <f aca="false">IF(A761="","",A761+Settings!$B$6/24)</f>
        <v/>
      </c>
    </row>
    <row r="762" customFormat="false" ht="15" hidden="false" customHeight="false" outlineLevel="0" collapsed="false">
      <c r="A762" s="14"/>
      <c r="B762" s="5"/>
      <c r="C762" s="15" t="str">
        <f aca="false">IF(B762="","",IFERROR(INDEX('Mug Marks'!$A$5:$A$204,MATCH(B762,'Mug Marks'!$B$5:$B$204,0)),"(not on Mug Marks)"))</f>
        <v/>
      </c>
      <c r="D762" s="6"/>
      <c r="E762" s="4"/>
      <c r="F762" s="4"/>
      <c r="G762" s="8" t="str">
        <f aca="false">IF(A762="","",A762+Settings!$B$6/24)</f>
        <v/>
      </c>
    </row>
    <row r="763" customFormat="false" ht="15" hidden="false" customHeight="false" outlineLevel="0" collapsed="false">
      <c r="A763" s="14"/>
      <c r="B763" s="5"/>
      <c r="C763" s="15" t="str">
        <f aca="false">IF(B763="","",IFERROR(INDEX('Mug Marks'!$A$5:$A$204,MATCH(B763,'Mug Marks'!$B$5:$B$204,0)),"(not on Mug Marks)"))</f>
        <v/>
      </c>
      <c r="D763" s="6"/>
      <c r="E763" s="4"/>
      <c r="F763" s="4"/>
      <c r="G763" s="8" t="str">
        <f aca="false">IF(A763="","",A763+Settings!$B$6/24)</f>
        <v/>
      </c>
    </row>
    <row r="764" customFormat="false" ht="15" hidden="false" customHeight="false" outlineLevel="0" collapsed="false">
      <c r="A764" s="14"/>
      <c r="B764" s="5"/>
      <c r="C764" s="15" t="str">
        <f aca="false">IF(B764="","",IFERROR(INDEX('Mug Marks'!$A$5:$A$204,MATCH(B764,'Mug Marks'!$B$5:$B$204,0)),"(not on Mug Marks)"))</f>
        <v/>
      </c>
      <c r="D764" s="6"/>
      <c r="E764" s="4"/>
      <c r="F764" s="4"/>
      <c r="G764" s="8" t="str">
        <f aca="false">IF(A764="","",A764+Settings!$B$6/24)</f>
        <v/>
      </c>
    </row>
    <row r="765" customFormat="false" ht="15" hidden="false" customHeight="false" outlineLevel="0" collapsed="false">
      <c r="A765" s="14"/>
      <c r="B765" s="5"/>
      <c r="C765" s="15" t="str">
        <f aca="false">IF(B765="","",IFERROR(INDEX('Mug Marks'!$A$5:$A$204,MATCH(B765,'Mug Marks'!$B$5:$B$204,0)),"(not on Mug Marks)"))</f>
        <v/>
      </c>
      <c r="D765" s="6"/>
      <c r="E765" s="4"/>
      <c r="F765" s="4"/>
      <c r="G765" s="8" t="str">
        <f aca="false">IF(A765="","",A765+Settings!$B$6/24)</f>
        <v/>
      </c>
    </row>
    <row r="766" customFormat="false" ht="15" hidden="false" customHeight="false" outlineLevel="0" collapsed="false">
      <c r="A766" s="14"/>
      <c r="B766" s="5"/>
      <c r="C766" s="15" t="str">
        <f aca="false">IF(B766="","",IFERROR(INDEX('Mug Marks'!$A$5:$A$204,MATCH(B766,'Mug Marks'!$B$5:$B$204,0)),"(not on Mug Marks)"))</f>
        <v/>
      </c>
      <c r="D766" s="6"/>
      <c r="E766" s="4"/>
      <c r="F766" s="4"/>
      <c r="G766" s="8" t="str">
        <f aca="false">IF(A766="","",A766+Settings!$B$6/24)</f>
        <v/>
      </c>
    </row>
    <row r="767" customFormat="false" ht="15" hidden="false" customHeight="false" outlineLevel="0" collapsed="false">
      <c r="A767" s="14"/>
      <c r="B767" s="5"/>
      <c r="C767" s="15" t="str">
        <f aca="false">IF(B767="","",IFERROR(INDEX('Mug Marks'!$A$5:$A$204,MATCH(B767,'Mug Marks'!$B$5:$B$204,0)),"(not on Mug Marks)"))</f>
        <v/>
      </c>
      <c r="D767" s="6"/>
      <c r="E767" s="4"/>
      <c r="F767" s="4"/>
      <c r="G767" s="8" t="str">
        <f aca="false">IF(A767="","",A767+Settings!$B$6/24)</f>
        <v/>
      </c>
    </row>
    <row r="768" customFormat="false" ht="15" hidden="false" customHeight="false" outlineLevel="0" collapsed="false">
      <c r="A768" s="14"/>
      <c r="B768" s="5"/>
      <c r="C768" s="15" t="str">
        <f aca="false">IF(B768="","",IFERROR(INDEX('Mug Marks'!$A$5:$A$204,MATCH(B768,'Mug Marks'!$B$5:$B$204,0)),"(not on Mug Marks)"))</f>
        <v/>
      </c>
      <c r="D768" s="6"/>
      <c r="E768" s="4"/>
      <c r="F768" s="4"/>
      <c r="G768" s="8" t="str">
        <f aca="false">IF(A768="","",A768+Settings!$B$6/24)</f>
        <v/>
      </c>
    </row>
    <row r="769" customFormat="false" ht="15" hidden="false" customHeight="false" outlineLevel="0" collapsed="false">
      <c r="A769" s="14"/>
      <c r="B769" s="5"/>
      <c r="C769" s="15" t="str">
        <f aca="false">IF(B769="","",IFERROR(INDEX('Mug Marks'!$A$5:$A$204,MATCH(B769,'Mug Marks'!$B$5:$B$204,0)),"(not on Mug Marks)"))</f>
        <v/>
      </c>
      <c r="D769" s="6"/>
      <c r="E769" s="4"/>
      <c r="F769" s="4"/>
      <c r="G769" s="8" t="str">
        <f aca="false">IF(A769="","",A769+Settings!$B$6/24)</f>
        <v/>
      </c>
    </row>
    <row r="770" customFormat="false" ht="15" hidden="false" customHeight="false" outlineLevel="0" collapsed="false">
      <c r="A770" s="14"/>
      <c r="B770" s="5"/>
      <c r="C770" s="15" t="str">
        <f aca="false">IF(B770="","",IFERROR(INDEX('Mug Marks'!$A$5:$A$204,MATCH(B770,'Mug Marks'!$B$5:$B$204,0)),"(not on Mug Marks)"))</f>
        <v/>
      </c>
      <c r="D770" s="6"/>
      <c r="E770" s="4"/>
      <c r="F770" s="4"/>
      <c r="G770" s="8" t="str">
        <f aca="false">IF(A770="","",A770+Settings!$B$6/24)</f>
        <v/>
      </c>
    </row>
    <row r="771" customFormat="false" ht="15" hidden="false" customHeight="false" outlineLevel="0" collapsed="false">
      <c r="A771" s="14"/>
      <c r="B771" s="5"/>
      <c r="C771" s="15" t="str">
        <f aca="false">IF(B771="","",IFERROR(INDEX('Mug Marks'!$A$5:$A$204,MATCH(B771,'Mug Marks'!$B$5:$B$204,0)),"(not on Mug Marks)"))</f>
        <v/>
      </c>
      <c r="D771" s="6"/>
      <c r="E771" s="4"/>
      <c r="F771" s="4"/>
      <c r="G771" s="8" t="str">
        <f aca="false">IF(A771="","",A771+Settings!$B$6/24)</f>
        <v/>
      </c>
    </row>
    <row r="772" customFormat="false" ht="15" hidden="false" customHeight="false" outlineLevel="0" collapsed="false">
      <c r="A772" s="14"/>
      <c r="B772" s="5"/>
      <c r="C772" s="15" t="str">
        <f aca="false">IF(B772="","",IFERROR(INDEX('Mug Marks'!$A$5:$A$204,MATCH(B772,'Mug Marks'!$B$5:$B$204,0)),"(not on Mug Marks)"))</f>
        <v/>
      </c>
      <c r="D772" s="6"/>
      <c r="E772" s="4"/>
      <c r="F772" s="4"/>
      <c r="G772" s="8" t="str">
        <f aca="false">IF(A772="","",A772+Settings!$B$6/24)</f>
        <v/>
      </c>
    </row>
    <row r="773" customFormat="false" ht="15" hidden="false" customHeight="false" outlineLevel="0" collapsed="false">
      <c r="A773" s="14"/>
      <c r="B773" s="5"/>
      <c r="C773" s="15" t="str">
        <f aca="false">IF(B773="","",IFERROR(INDEX('Mug Marks'!$A$5:$A$204,MATCH(B773,'Mug Marks'!$B$5:$B$204,0)),"(not on Mug Marks)"))</f>
        <v/>
      </c>
      <c r="D773" s="6"/>
      <c r="E773" s="4"/>
      <c r="F773" s="4"/>
      <c r="G773" s="8" t="str">
        <f aca="false">IF(A773="","",A773+Settings!$B$6/24)</f>
        <v/>
      </c>
    </row>
    <row r="774" customFormat="false" ht="15" hidden="false" customHeight="false" outlineLevel="0" collapsed="false">
      <c r="A774" s="14"/>
      <c r="B774" s="5"/>
      <c r="C774" s="15" t="str">
        <f aca="false">IF(B774="","",IFERROR(INDEX('Mug Marks'!$A$5:$A$204,MATCH(B774,'Mug Marks'!$B$5:$B$204,0)),"(not on Mug Marks)"))</f>
        <v/>
      </c>
      <c r="D774" s="6"/>
      <c r="E774" s="4"/>
      <c r="F774" s="4"/>
      <c r="G774" s="8" t="str">
        <f aca="false">IF(A774="","",A774+Settings!$B$6/24)</f>
        <v/>
      </c>
    </row>
    <row r="775" customFormat="false" ht="15" hidden="false" customHeight="false" outlineLevel="0" collapsed="false">
      <c r="A775" s="14"/>
      <c r="B775" s="5"/>
      <c r="C775" s="15" t="str">
        <f aca="false">IF(B775="","",IFERROR(INDEX('Mug Marks'!$A$5:$A$204,MATCH(B775,'Mug Marks'!$B$5:$B$204,0)),"(not on Mug Marks)"))</f>
        <v/>
      </c>
      <c r="D775" s="6"/>
      <c r="E775" s="4"/>
      <c r="F775" s="4"/>
      <c r="G775" s="8" t="str">
        <f aca="false">IF(A775="","",A775+Settings!$B$6/24)</f>
        <v/>
      </c>
    </row>
    <row r="776" customFormat="false" ht="15" hidden="false" customHeight="false" outlineLevel="0" collapsed="false">
      <c r="A776" s="14"/>
      <c r="B776" s="5"/>
      <c r="C776" s="15" t="str">
        <f aca="false">IF(B776="","",IFERROR(INDEX('Mug Marks'!$A$5:$A$204,MATCH(B776,'Mug Marks'!$B$5:$B$204,0)),"(not on Mug Marks)"))</f>
        <v/>
      </c>
      <c r="D776" s="6"/>
      <c r="E776" s="4"/>
      <c r="F776" s="4"/>
      <c r="G776" s="8" t="str">
        <f aca="false">IF(A776="","",A776+Settings!$B$6/24)</f>
        <v/>
      </c>
    </row>
    <row r="777" customFormat="false" ht="15" hidden="false" customHeight="false" outlineLevel="0" collapsed="false">
      <c r="A777" s="14"/>
      <c r="B777" s="5"/>
      <c r="C777" s="15" t="str">
        <f aca="false">IF(B777="","",IFERROR(INDEX('Mug Marks'!$A$5:$A$204,MATCH(B777,'Mug Marks'!$B$5:$B$204,0)),"(not on Mug Marks)"))</f>
        <v/>
      </c>
      <c r="D777" s="6"/>
      <c r="E777" s="4"/>
      <c r="F777" s="4"/>
      <c r="G777" s="8" t="str">
        <f aca="false">IF(A777="","",A777+Settings!$B$6/24)</f>
        <v/>
      </c>
    </row>
    <row r="778" customFormat="false" ht="15" hidden="false" customHeight="false" outlineLevel="0" collapsed="false">
      <c r="A778" s="14"/>
      <c r="B778" s="5"/>
      <c r="C778" s="15" t="str">
        <f aca="false">IF(B778="","",IFERROR(INDEX('Mug Marks'!$A$5:$A$204,MATCH(B778,'Mug Marks'!$B$5:$B$204,0)),"(not on Mug Marks)"))</f>
        <v/>
      </c>
      <c r="D778" s="6"/>
      <c r="E778" s="4"/>
      <c r="F778" s="4"/>
      <c r="G778" s="8" t="str">
        <f aca="false">IF(A778="","",A778+Settings!$B$6/24)</f>
        <v/>
      </c>
    </row>
    <row r="779" customFormat="false" ht="15" hidden="false" customHeight="false" outlineLevel="0" collapsed="false">
      <c r="A779" s="14"/>
      <c r="B779" s="5"/>
      <c r="C779" s="15" t="str">
        <f aca="false">IF(B779="","",IFERROR(INDEX('Mug Marks'!$A$5:$A$204,MATCH(B779,'Mug Marks'!$B$5:$B$204,0)),"(not on Mug Marks)"))</f>
        <v/>
      </c>
      <c r="D779" s="6"/>
      <c r="E779" s="4"/>
      <c r="F779" s="4"/>
      <c r="G779" s="8" t="str">
        <f aca="false">IF(A779="","",A779+Settings!$B$6/24)</f>
        <v/>
      </c>
    </row>
    <row r="780" customFormat="false" ht="15" hidden="false" customHeight="false" outlineLevel="0" collapsed="false">
      <c r="A780" s="14"/>
      <c r="B780" s="5"/>
      <c r="C780" s="15" t="str">
        <f aca="false">IF(B780="","",IFERROR(INDEX('Mug Marks'!$A$5:$A$204,MATCH(B780,'Mug Marks'!$B$5:$B$204,0)),"(not on Mug Marks)"))</f>
        <v/>
      </c>
      <c r="D780" s="6"/>
      <c r="E780" s="4"/>
      <c r="F780" s="4"/>
      <c r="G780" s="8" t="str">
        <f aca="false">IF(A780="","",A780+Settings!$B$6/24)</f>
        <v/>
      </c>
    </row>
    <row r="781" customFormat="false" ht="15" hidden="false" customHeight="false" outlineLevel="0" collapsed="false">
      <c r="A781" s="14"/>
      <c r="B781" s="5"/>
      <c r="C781" s="15" t="str">
        <f aca="false">IF(B781="","",IFERROR(INDEX('Mug Marks'!$A$5:$A$204,MATCH(B781,'Mug Marks'!$B$5:$B$204,0)),"(not on Mug Marks)"))</f>
        <v/>
      </c>
      <c r="D781" s="6"/>
      <c r="E781" s="4"/>
      <c r="F781" s="4"/>
      <c r="G781" s="8" t="str">
        <f aca="false">IF(A781="","",A781+Settings!$B$6/24)</f>
        <v/>
      </c>
    </row>
    <row r="782" customFormat="false" ht="15" hidden="false" customHeight="false" outlineLevel="0" collapsed="false">
      <c r="A782" s="14"/>
      <c r="B782" s="5"/>
      <c r="C782" s="15" t="str">
        <f aca="false">IF(B782="","",IFERROR(INDEX('Mug Marks'!$A$5:$A$204,MATCH(B782,'Mug Marks'!$B$5:$B$204,0)),"(not on Mug Marks)"))</f>
        <v/>
      </c>
      <c r="D782" s="6"/>
      <c r="E782" s="4"/>
      <c r="F782" s="4"/>
      <c r="G782" s="8" t="str">
        <f aca="false">IF(A782="","",A782+Settings!$B$6/24)</f>
        <v/>
      </c>
    </row>
    <row r="783" customFormat="false" ht="15" hidden="false" customHeight="false" outlineLevel="0" collapsed="false">
      <c r="A783" s="14"/>
      <c r="B783" s="5"/>
      <c r="C783" s="15" t="str">
        <f aca="false">IF(B783="","",IFERROR(INDEX('Mug Marks'!$A$5:$A$204,MATCH(B783,'Mug Marks'!$B$5:$B$204,0)),"(not on Mug Marks)"))</f>
        <v/>
      </c>
      <c r="D783" s="6"/>
      <c r="E783" s="4"/>
      <c r="F783" s="4"/>
      <c r="G783" s="8" t="str">
        <f aca="false">IF(A783="","",A783+Settings!$B$6/24)</f>
        <v/>
      </c>
    </row>
    <row r="784" customFormat="false" ht="15" hidden="false" customHeight="false" outlineLevel="0" collapsed="false">
      <c r="A784" s="14"/>
      <c r="B784" s="5"/>
      <c r="C784" s="15" t="str">
        <f aca="false">IF(B784="","",IFERROR(INDEX('Mug Marks'!$A$5:$A$204,MATCH(B784,'Mug Marks'!$B$5:$B$204,0)),"(not on Mug Marks)"))</f>
        <v/>
      </c>
      <c r="D784" s="6"/>
      <c r="E784" s="4"/>
      <c r="F784" s="4"/>
      <c r="G784" s="8" t="str">
        <f aca="false">IF(A784="","",A784+Settings!$B$6/24)</f>
        <v/>
      </c>
    </row>
    <row r="785" customFormat="false" ht="15" hidden="false" customHeight="false" outlineLevel="0" collapsed="false">
      <c r="A785" s="14"/>
      <c r="B785" s="5"/>
      <c r="C785" s="15" t="str">
        <f aca="false">IF(B785="","",IFERROR(INDEX('Mug Marks'!$A$5:$A$204,MATCH(B785,'Mug Marks'!$B$5:$B$204,0)),"(not on Mug Marks)"))</f>
        <v/>
      </c>
      <c r="D785" s="6"/>
      <c r="E785" s="4"/>
      <c r="F785" s="4"/>
      <c r="G785" s="8" t="str">
        <f aca="false">IF(A785="","",A785+Settings!$B$6/24)</f>
        <v/>
      </c>
    </row>
    <row r="786" customFormat="false" ht="15" hidden="false" customHeight="false" outlineLevel="0" collapsed="false">
      <c r="A786" s="14"/>
      <c r="B786" s="5"/>
      <c r="C786" s="15" t="str">
        <f aca="false">IF(B786="","",IFERROR(INDEX('Mug Marks'!$A$5:$A$204,MATCH(B786,'Mug Marks'!$B$5:$B$204,0)),"(not on Mug Marks)"))</f>
        <v/>
      </c>
      <c r="D786" s="6"/>
      <c r="E786" s="4"/>
      <c r="F786" s="4"/>
      <c r="G786" s="8" t="str">
        <f aca="false">IF(A786="","",A786+Settings!$B$6/24)</f>
        <v/>
      </c>
    </row>
    <row r="787" customFormat="false" ht="15" hidden="false" customHeight="false" outlineLevel="0" collapsed="false">
      <c r="A787" s="14"/>
      <c r="B787" s="5"/>
      <c r="C787" s="15" t="str">
        <f aca="false">IF(B787="","",IFERROR(INDEX('Mug Marks'!$A$5:$A$204,MATCH(B787,'Mug Marks'!$B$5:$B$204,0)),"(not on Mug Marks)"))</f>
        <v/>
      </c>
      <c r="D787" s="6"/>
      <c r="E787" s="4"/>
      <c r="F787" s="4"/>
      <c r="G787" s="8" t="str">
        <f aca="false">IF(A787="","",A787+Settings!$B$6/24)</f>
        <v/>
      </c>
    </row>
    <row r="788" customFormat="false" ht="15" hidden="false" customHeight="false" outlineLevel="0" collapsed="false">
      <c r="A788" s="14"/>
      <c r="B788" s="5"/>
      <c r="C788" s="15" t="str">
        <f aca="false">IF(B788="","",IFERROR(INDEX('Mug Marks'!$A$5:$A$204,MATCH(B788,'Mug Marks'!$B$5:$B$204,0)),"(not on Mug Marks)"))</f>
        <v/>
      </c>
      <c r="D788" s="6"/>
      <c r="E788" s="4"/>
      <c r="F788" s="4"/>
      <c r="G788" s="8" t="str">
        <f aca="false">IF(A788="","",A788+Settings!$B$6/24)</f>
        <v/>
      </c>
    </row>
    <row r="789" customFormat="false" ht="15" hidden="false" customHeight="false" outlineLevel="0" collapsed="false">
      <c r="A789" s="14"/>
      <c r="B789" s="5"/>
      <c r="C789" s="15" t="str">
        <f aca="false">IF(B789="","",IFERROR(INDEX('Mug Marks'!$A$5:$A$204,MATCH(B789,'Mug Marks'!$B$5:$B$204,0)),"(not on Mug Marks)"))</f>
        <v/>
      </c>
      <c r="D789" s="6"/>
      <c r="E789" s="4"/>
      <c r="F789" s="4"/>
      <c r="G789" s="8" t="str">
        <f aca="false">IF(A789="","",A789+Settings!$B$6/24)</f>
        <v/>
      </c>
    </row>
    <row r="790" customFormat="false" ht="15" hidden="false" customHeight="false" outlineLevel="0" collapsed="false">
      <c r="A790" s="14"/>
      <c r="B790" s="5"/>
      <c r="C790" s="15" t="str">
        <f aca="false">IF(B790="","",IFERROR(INDEX('Mug Marks'!$A$5:$A$204,MATCH(B790,'Mug Marks'!$B$5:$B$204,0)),"(not on Mug Marks)"))</f>
        <v/>
      </c>
      <c r="D790" s="6"/>
      <c r="E790" s="4"/>
      <c r="F790" s="4"/>
      <c r="G790" s="8" t="str">
        <f aca="false">IF(A790="","",A790+Settings!$B$6/24)</f>
        <v/>
      </c>
    </row>
    <row r="791" customFormat="false" ht="15" hidden="false" customHeight="false" outlineLevel="0" collapsed="false">
      <c r="A791" s="14"/>
      <c r="B791" s="5"/>
      <c r="C791" s="15" t="str">
        <f aca="false">IF(B791="","",IFERROR(INDEX('Mug Marks'!$A$5:$A$204,MATCH(B791,'Mug Marks'!$B$5:$B$204,0)),"(not on Mug Marks)"))</f>
        <v/>
      </c>
      <c r="D791" s="6"/>
      <c r="E791" s="4"/>
      <c r="F791" s="4"/>
      <c r="G791" s="8" t="str">
        <f aca="false">IF(A791="","",A791+Settings!$B$6/24)</f>
        <v/>
      </c>
    </row>
    <row r="792" customFormat="false" ht="15" hidden="false" customHeight="false" outlineLevel="0" collapsed="false">
      <c r="A792" s="14"/>
      <c r="B792" s="5"/>
      <c r="C792" s="15" t="str">
        <f aca="false">IF(B792="","",IFERROR(INDEX('Mug Marks'!$A$5:$A$204,MATCH(B792,'Mug Marks'!$B$5:$B$204,0)),"(not on Mug Marks)"))</f>
        <v/>
      </c>
      <c r="D792" s="6"/>
      <c r="E792" s="4"/>
      <c r="F792" s="4"/>
      <c r="G792" s="8" t="str">
        <f aca="false">IF(A792="","",A792+Settings!$B$6/24)</f>
        <v/>
      </c>
    </row>
    <row r="793" customFormat="false" ht="15" hidden="false" customHeight="false" outlineLevel="0" collapsed="false">
      <c r="A793" s="14"/>
      <c r="B793" s="5"/>
      <c r="C793" s="15" t="str">
        <f aca="false">IF(B793="","",IFERROR(INDEX('Mug Marks'!$A$5:$A$204,MATCH(B793,'Mug Marks'!$B$5:$B$204,0)),"(not on Mug Marks)"))</f>
        <v/>
      </c>
      <c r="D793" s="6"/>
      <c r="E793" s="4"/>
      <c r="F793" s="4"/>
      <c r="G793" s="8" t="str">
        <f aca="false">IF(A793="","",A793+Settings!$B$6/24)</f>
        <v/>
      </c>
    </row>
    <row r="794" customFormat="false" ht="15" hidden="false" customHeight="false" outlineLevel="0" collapsed="false">
      <c r="A794" s="14"/>
      <c r="B794" s="5"/>
      <c r="C794" s="15" t="str">
        <f aca="false">IF(B794="","",IFERROR(INDEX('Mug Marks'!$A$5:$A$204,MATCH(B794,'Mug Marks'!$B$5:$B$204,0)),"(not on Mug Marks)"))</f>
        <v/>
      </c>
      <c r="D794" s="6"/>
      <c r="E794" s="4"/>
      <c r="F794" s="4"/>
      <c r="G794" s="8" t="str">
        <f aca="false">IF(A794="","",A794+Settings!$B$6/24)</f>
        <v/>
      </c>
    </row>
    <row r="795" customFormat="false" ht="15" hidden="false" customHeight="false" outlineLevel="0" collapsed="false">
      <c r="A795" s="14"/>
      <c r="B795" s="5"/>
      <c r="C795" s="15" t="str">
        <f aca="false">IF(B795="","",IFERROR(INDEX('Mug Marks'!$A$5:$A$204,MATCH(B795,'Mug Marks'!$B$5:$B$204,0)),"(not on Mug Marks)"))</f>
        <v/>
      </c>
      <c r="D795" s="6"/>
      <c r="E795" s="4"/>
      <c r="F795" s="4"/>
      <c r="G795" s="8" t="str">
        <f aca="false">IF(A795="","",A795+Settings!$B$6/24)</f>
        <v/>
      </c>
    </row>
    <row r="796" customFormat="false" ht="15" hidden="false" customHeight="false" outlineLevel="0" collapsed="false">
      <c r="A796" s="14"/>
      <c r="B796" s="5"/>
      <c r="C796" s="15" t="str">
        <f aca="false">IF(B796="","",IFERROR(INDEX('Mug Marks'!$A$5:$A$204,MATCH(B796,'Mug Marks'!$B$5:$B$204,0)),"(not on Mug Marks)"))</f>
        <v/>
      </c>
      <c r="D796" s="6"/>
      <c r="E796" s="4"/>
      <c r="F796" s="4"/>
      <c r="G796" s="8" t="str">
        <f aca="false">IF(A796="","",A796+Settings!$B$6/24)</f>
        <v/>
      </c>
    </row>
    <row r="797" customFormat="false" ht="15" hidden="false" customHeight="false" outlineLevel="0" collapsed="false">
      <c r="A797" s="14"/>
      <c r="B797" s="5"/>
      <c r="C797" s="15" t="str">
        <f aca="false">IF(B797="","",IFERROR(INDEX('Mug Marks'!$A$5:$A$204,MATCH(B797,'Mug Marks'!$B$5:$B$204,0)),"(not on Mug Marks)"))</f>
        <v/>
      </c>
      <c r="D797" s="6"/>
      <c r="E797" s="4"/>
      <c r="F797" s="4"/>
      <c r="G797" s="8" t="str">
        <f aca="false">IF(A797="","",A797+Settings!$B$6/24)</f>
        <v/>
      </c>
    </row>
    <row r="798" customFormat="false" ht="15" hidden="false" customHeight="false" outlineLevel="0" collapsed="false">
      <c r="A798" s="14"/>
      <c r="B798" s="5"/>
      <c r="C798" s="15" t="str">
        <f aca="false">IF(B798="","",IFERROR(INDEX('Mug Marks'!$A$5:$A$204,MATCH(B798,'Mug Marks'!$B$5:$B$204,0)),"(not on Mug Marks)"))</f>
        <v/>
      </c>
      <c r="D798" s="6"/>
      <c r="E798" s="4"/>
      <c r="F798" s="4"/>
      <c r="G798" s="8" t="str">
        <f aca="false">IF(A798="","",A798+Settings!$B$6/24)</f>
        <v/>
      </c>
    </row>
    <row r="799" customFormat="false" ht="15" hidden="false" customHeight="false" outlineLevel="0" collapsed="false">
      <c r="A799" s="14"/>
      <c r="B799" s="5"/>
      <c r="C799" s="15" t="str">
        <f aca="false">IF(B799="","",IFERROR(INDEX('Mug Marks'!$A$5:$A$204,MATCH(B799,'Mug Marks'!$B$5:$B$204,0)),"(not on Mug Marks)"))</f>
        <v/>
      </c>
      <c r="D799" s="6"/>
      <c r="E799" s="4"/>
      <c r="F799" s="4"/>
      <c r="G799" s="8" t="str">
        <f aca="false">IF(A799="","",A799+Settings!$B$6/24)</f>
        <v/>
      </c>
    </row>
    <row r="800" customFormat="false" ht="15" hidden="false" customHeight="false" outlineLevel="0" collapsed="false">
      <c r="A800" s="14"/>
      <c r="B800" s="5"/>
      <c r="C800" s="15" t="str">
        <f aca="false">IF(B800="","",IFERROR(INDEX('Mug Marks'!$A$5:$A$204,MATCH(B800,'Mug Marks'!$B$5:$B$204,0)),"(not on Mug Marks)"))</f>
        <v/>
      </c>
      <c r="D800" s="6"/>
      <c r="E800" s="4"/>
      <c r="F800" s="4"/>
      <c r="G800" s="8" t="str">
        <f aca="false">IF(A800="","",A800+Settings!$B$6/24)</f>
        <v/>
      </c>
    </row>
    <row r="801" customFormat="false" ht="15" hidden="false" customHeight="false" outlineLevel="0" collapsed="false">
      <c r="A801" s="14"/>
      <c r="B801" s="5"/>
      <c r="C801" s="15" t="str">
        <f aca="false">IF(B801="","",IFERROR(INDEX('Mug Marks'!$A$5:$A$204,MATCH(B801,'Mug Marks'!$B$5:$B$204,0)),"(not on Mug Marks)"))</f>
        <v/>
      </c>
      <c r="D801" s="6"/>
      <c r="E801" s="4"/>
      <c r="F801" s="4"/>
      <c r="G801" s="8" t="str">
        <f aca="false">IF(A801="","",A801+Settings!$B$6/24)</f>
        <v/>
      </c>
    </row>
    <row r="802" customFormat="false" ht="15" hidden="false" customHeight="false" outlineLevel="0" collapsed="false">
      <c r="A802" s="14"/>
      <c r="B802" s="5"/>
      <c r="C802" s="15" t="str">
        <f aca="false">IF(B802="","",IFERROR(INDEX('Mug Marks'!$A$5:$A$204,MATCH(B802,'Mug Marks'!$B$5:$B$204,0)),"(not on Mug Marks)"))</f>
        <v/>
      </c>
      <c r="D802" s="6"/>
      <c r="E802" s="4"/>
      <c r="F802" s="4"/>
      <c r="G802" s="8" t="str">
        <f aca="false">IF(A802="","",A802+Settings!$B$6/24)</f>
        <v/>
      </c>
    </row>
    <row r="803" customFormat="false" ht="15" hidden="false" customHeight="false" outlineLevel="0" collapsed="false">
      <c r="A803" s="14"/>
      <c r="B803" s="5"/>
      <c r="C803" s="15" t="str">
        <f aca="false">IF(B803="","",IFERROR(INDEX('Mug Marks'!$A$5:$A$204,MATCH(B803,'Mug Marks'!$B$5:$B$204,0)),"(not on Mug Marks)"))</f>
        <v/>
      </c>
      <c r="D803" s="6"/>
      <c r="E803" s="4"/>
      <c r="F803" s="4"/>
      <c r="G803" s="8" t="str">
        <f aca="false">IF(A803="","",A803+Settings!$B$6/24)</f>
        <v/>
      </c>
    </row>
    <row r="804" customFormat="false" ht="15" hidden="false" customHeight="false" outlineLevel="0" collapsed="false">
      <c r="A804" s="14"/>
      <c r="B804" s="5"/>
      <c r="C804" s="15" t="str">
        <f aca="false">IF(B804="","",IFERROR(INDEX('Mug Marks'!$A$5:$A$204,MATCH(B804,'Mug Marks'!$B$5:$B$204,0)),"(not on Mug Marks)"))</f>
        <v/>
      </c>
      <c r="D804" s="6"/>
      <c r="E804" s="4"/>
      <c r="F804" s="4"/>
      <c r="G804" s="8" t="str">
        <f aca="false">IF(A804="","",A804+Settings!$B$6/24)</f>
        <v/>
      </c>
    </row>
    <row r="805" customFormat="false" ht="15" hidden="false" customHeight="false" outlineLevel="0" collapsed="false">
      <c r="A805" s="14"/>
      <c r="B805" s="5"/>
      <c r="C805" s="15" t="str">
        <f aca="false">IF(B805="","",IFERROR(INDEX('Mug Marks'!$A$5:$A$204,MATCH(B805,'Mug Marks'!$B$5:$B$204,0)),"(not on Mug Marks)"))</f>
        <v/>
      </c>
      <c r="D805" s="6"/>
      <c r="E805" s="4"/>
      <c r="F805" s="4"/>
      <c r="G805" s="8" t="str">
        <f aca="false">IF(A805="","",A805+Settings!$B$6/24)</f>
        <v/>
      </c>
    </row>
    <row r="806" customFormat="false" ht="15" hidden="false" customHeight="false" outlineLevel="0" collapsed="false">
      <c r="A806" s="14"/>
      <c r="B806" s="5"/>
      <c r="C806" s="15" t="str">
        <f aca="false">IF(B806="","",IFERROR(INDEX('Mug Marks'!$A$5:$A$204,MATCH(B806,'Mug Marks'!$B$5:$B$204,0)),"(not on Mug Marks)"))</f>
        <v/>
      </c>
      <c r="D806" s="6"/>
      <c r="E806" s="4"/>
      <c r="F806" s="4"/>
      <c r="G806" s="8" t="str">
        <f aca="false">IF(A806="","",A806+Settings!$B$6/24)</f>
        <v/>
      </c>
    </row>
    <row r="807" customFormat="false" ht="15" hidden="false" customHeight="false" outlineLevel="0" collapsed="false">
      <c r="A807" s="14"/>
      <c r="B807" s="5"/>
      <c r="C807" s="15" t="str">
        <f aca="false">IF(B807="","",IFERROR(INDEX('Mug Marks'!$A$5:$A$204,MATCH(B807,'Mug Marks'!$B$5:$B$204,0)),"(not on Mug Marks)"))</f>
        <v/>
      </c>
      <c r="D807" s="6"/>
      <c r="E807" s="4"/>
      <c r="F807" s="4"/>
      <c r="G807" s="8" t="str">
        <f aca="false">IF(A807="","",A807+Settings!$B$6/24)</f>
        <v/>
      </c>
    </row>
    <row r="808" customFormat="false" ht="15" hidden="false" customHeight="false" outlineLevel="0" collapsed="false">
      <c r="A808" s="14"/>
      <c r="B808" s="5"/>
      <c r="C808" s="15" t="str">
        <f aca="false">IF(B808="","",IFERROR(INDEX('Mug Marks'!$A$5:$A$204,MATCH(B808,'Mug Marks'!$B$5:$B$204,0)),"(not on Mug Marks)"))</f>
        <v/>
      </c>
      <c r="D808" s="6"/>
      <c r="E808" s="4"/>
      <c r="F808" s="4"/>
      <c r="G808" s="8" t="str">
        <f aca="false">IF(A808="","",A808+Settings!$B$6/24)</f>
        <v/>
      </c>
    </row>
    <row r="809" customFormat="false" ht="15" hidden="false" customHeight="false" outlineLevel="0" collapsed="false">
      <c r="A809" s="14"/>
      <c r="B809" s="5"/>
      <c r="C809" s="15" t="str">
        <f aca="false">IF(B809="","",IFERROR(INDEX('Mug Marks'!$A$5:$A$204,MATCH(B809,'Mug Marks'!$B$5:$B$204,0)),"(not on Mug Marks)"))</f>
        <v/>
      </c>
      <c r="D809" s="6"/>
      <c r="E809" s="4"/>
      <c r="F809" s="4"/>
      <c r="G809" s="8" t="str">
        <f aca="false">IF(A809="","",A809+Settings!$B$6/24)</f>
        <v/>
      </c>
    </row>
    <row r="810" customFormat="false" ht="15" hidden="false" customHeight="false" outlineLevel="0" collapsed="false">
      <c r="A810" s="14"/>
      <c r="B810" s="5"/>
      <c r="C810" s="15" t="str">
        <f aca="false">IF(B810="","",IFERROR(INDEX('Mug Marks'!$A$5:$A$204,MATCH(B810,'Mug Marks'!$B$5:$B$204,0)),"(not on Mug Marks)"))</f>
        <v/>
      </c>
      <c r="D810" s="6"/>
      <c r="E810" s="4"/>
      <c r="F810" s="4"/>
      <c r="G810" s="8" t="str">
        <f aca="false">IF(A810="","",A810+Settings!$B$6/24)</f>
        <v/>
      </c>
    </row>
    <row r="811" customFormat="false" ht="15" hidden="false" customHeight="false" outlineLevel="0" collapsed="false">
      <c r="A811" s="14"/>
      <c r="B811" s="5"/>
      <c r="C811" s="15" t="str">
        <f aca="false">IF(B811="","",IFERROR(INDEX('Mug Marks'!$A$5:$A$204,MATCH(B811,'Mug Marks'!$B$5:$B$204,0)),"(not on Mug Marks)"))</f>
        <v/>
      </c>
      <c r="D811" s="6"/>
      <c r="E811" s="4"/>
      <c r="F811" s="4"/>
      <c r="G811" s="8" t="str">
        <f aca="false">IF(A811="","",A811+Settings!$B$6/24)</f>
        <v/>
      </c>
    </row>
    <row r="812" customFormat="false" ht="15" hidden="false" customHeight="false" outlineLevel="0" collapsed="false">
      <c r="A812" s="14"/>
      <c r="B812" s="5"/>
      <c r="C812" s="15" t="str">
        <f aca="false">IF(B812="","",IFERROR(INDEX('Mug Marks'!$A$5:$A$204,MATCH(B812,'Mug Marks'!$B$5:$B$204,0)),"(not on Mug Marks)"))</f>
        <v/>
      </c>
      <c r="D812" s="6"/>
      <c r="E812" s="4"/>
      <c r="F812" s="4"/>
      <c r="G812" s="8" t="str">
        <f aca="false">IF(A812="","",A812+Settings!$B$6/24)</f>
        <v/>
      </c>
    </row>
    <row r="813" customFormat="false" ht="15" hidden="false" customHeight="false" outlineLevel="0" collapsed="false">
      <c r="A813" s="14"/>
      <c r="B813" s="5"/>
      <c r="C813" s="15" t="str">
        <f aca="false">IF(B813="","",IFERROR(INDEX('Mug Marks'!$A$5:$A$204,MATCH(B813,'Mug Marks'!$B$5:$B$204,0)),"(not on Mug Marks)"))</f>
        <v/>
      </c>
      <c r="D813" s="6"/>
      <c r="E813" s="4"/>
      <c r="F813" s="4"/>
      <c r="G813" s="8" t="str">
        <f aca="false">IF(A813="","",A813+Settings!$B$6/24)</f>
        <v/>
      </c>
    </row>
    <row r="814" customFormat="false" ht="15" hidden="false" customHeight="false" outlineLevel="0" collapsed="false">
      <c r="A814" s="14"/>
      <c r="B814" s="5"/>
      <c r="C814" s="15" t="str">
        <f aca="false">IF(B814="","",IFERROR(INDEX('Mug Marks'!$A$5:$A$204,MATCH(B814,'Mug Marks'!$B$5:$B$204,0)),"(not on Mug Marks)"))</f>
        <v/>
      </c>
      <c r="D814" s="6"/>
      <c r="E814" s="4"/>
      <c r="F814" s="4"/>
      <c r="G814" s="8" t="str">
        <f aca="false">IF(A814="","",A814+Settings!$B$6/24)</f>
        <v/>
      </c>
    </row>
    <row r="815" customFormat="false" ht="15" hidden="false" customHeight="false" outlineLevel="0" collapsed="false">
      <c r="A815" s="14"/>
      <c r="B815" s="5"/>
      <c r="C815" s="15" t="str">
        <f aca="false">IF(B815="","",IFERROR(INDEX('Mug Marks'!$A$5:$A$204,MATCH(B815,'Mug Marks'!$B$5:$B$204,0)),"(not on Mug Marks)"))</f>
        <v/>
      </c>
      <c r="D815" s="6"/>
      <c r="E815" s="4"/>
      <c r="F815" s="4"/>
      <c r="G815" s="8" t="str">
        <f aca="false">IF(A815="","",A815+Settings!$B$6/24)</f>
        <v/>
      </c>
    </row>
    <row r="816" customFormat="false" ht="15" hidden="false" customHeight="false" outlineLevel="0" collapsed="false">
      <c r="A816" s="14"/>
      <c r="B816" s="5"/>
      <c r="C816" s="15" t="str">
        <f aca="false">IF(B816="","",IFERROR(INDEX('Mug Marks'!$A$5:$A$204,MATCH(B816,'Mug Marks'!$B$5:$B$204,0)),"(not on Mug Marks)"))</f>
        <v/>
      </c>
      <c r="D816" s="6"/>
      <c r="E816" s="4"/>
      <c r="F816" s="4"/>
      <c r="G816" s="8" t="str">
        <f aca="false">IF(A816="","",A816+Settings!$B$6/24)</f>
        <v/>
      </c>
    </row>
    <row r="817" customFormat="false" ht="15" hidden="false" customHeight="false" outlineLevel="0" collapsed="false">
      <c r="A817" s="14"/>
      <c r="B817" s="5"/>
      <c r="C817" s="15" t="str">
        <f aca="false">IF(B817="","",IFERROR(INDEX('Mug Marks'!$A$5:$A$204,MATCH(B817,'Mug Marks'!$B$5:$B$204,0)),"(not on Mug Marks)"))</f>
        <v/>
      </c>
      <c r="D817" s="6"/>
      <c r="E817" s="4"/>
      <c r="F817" s="4"/>
      <c r="G817" s="8" t="str">
        <f aca="false">IF(A817="","",A817+Settings!$B$6/24)</f>
        <v/>
      </c>
    </row>
    <row r="818" customFormat="false" ht="15" hidden="false" customHeight="false" outlineLevel="0" collapsed="false">
      <c r="A818" s="14"/>
      <c r="B818" s="5"/>
      <c r="C818" s="15" t="str">
        <f aca="false">IF(B818="","",IFERROR(INDEX('Mug Marks'!$A$5:$A$204,MATCH(B818,'Mug Marks'!$B$5:$B$204,0)),"(not on Mug Marks)"))</f>
        <v/>
      </c>
      <c r="D818" s="6"/>
      <c r="E818" s="4"/>
      <c r="F818" s="4"/>
      <c r="G818" s="8" t="str">
        <f aca="false">IF(A818="","",A818+Settings!$B$6/24)</f>
        <v/>
      </c>
    </row>
    <row r="819" customFormat="false" ht="15" hidden="false" customHeight="false" outlineLevel="0" collapsed="false">
      <c r="A819" s="14"/>
      <c r="B819" s="5"/>
      <c r="C819" s="15" t="str">
        <f aca="false">IF(B819="","",IFERROR(INDEX('Mug Marks'!$A$5:$A$204,MATCH(B819,'Mug Marks'!$B$5:$B$204,0)),"(not on Mug Marks)"))</f>
        <v/>
      </c>
      <c r="D819" s="6"/>
      <c r="E819" s="4"/>
      <c r="F819" s="4"/>
      <c r="G819" s="8" t="str">
        <f aca="false">IF(A819="","",A819+Settings!$B$6/24)</f>
        <v/>
      </c>
    </row>
    <row r="820" customFormat="false" ht="15" hidden="false" customHeight="false" outlineLevel="0" collapsed="false">
      <c r="A820" s="14"/>
      <c r="B820" s="5"/>
      <c r="C820" s="15" t="str">
        <f aca="false">IF(B820="","",IFERROR(INDEX('Mug Marks'!$A$5:$A$204,MATCH(B820,'Mug Marks'!$B$5:$B$204,0)),"(not on Mug Marks)"))</f>
        <v/>
      </c>
      <c r="D820" s="6"/>
      <c r="E820" s="4"/>
      <c r="F820" s="4"/>
      <c r="G820" s="8" t="str">
        <f aca="false">IF(A820="","",A820+Settings!$B$6/24)</f>
        <v/>
      </c>
    </row>
    <row r="821" customFormat="false" ht="15" hidden="false" customHeight="false" outlineLevel="0" collapsed="false">
      <c r="A821" s="14"/>
      <c r="B821" s="5"/>
      <c r="C821" s="15" t="str">
        <f aca="false">IF(B821="","",IFERROR(INDEX('Mug Marks'!$A$5:$A$204,MATCH(B821,'Mug Marks'!$B$5:$B$204,0)),"(not on Mug Marks)"))</f>
        <v/>
      </c>
      <c r="D821" s="6"/>
      <c r="E821" s="4"/>
      <c r="F821" s="4"/>
      <c r="G821" s="8" t="str">
        <f aca="false">IF(A821="","",A821+Settings!$B$6/24)</f>
        <v/>
      </c>
    </row>
    <row r="822" customFormat="false" ht="15" hidden="false" customHeight="false" outlineLevel="0" collapsed="false">
      <c r="A822" s="14"/>
      <c r="B822" s="5"/>
      <c r="C822" s="15" t="str">
        <f aca="false">IF(B822="","",IFERROR(INDEX('Mug Marks'!$A$5:$A$204,MATCH(B822,'Mug Marks'!$B$5:$B$204,0)),"(not on Mug Marks)"))</f>
        <v/>
      </c>
      <c r="D822" s="6"/>
      <c r="E822" s="4"/>
      <c r="F822" s="4"/>
      <c r="G822" s="8" t="str">
        <f aca="false">IF(A822="","",A822+Settings!$B$6/24)</f>
        <v/>
      </c>
    </row>
    <row r="823" customFormat="false" ht="15" hidden="false" customHeight="false" outlineLevel="0" collapsed="false">
      <c r="A823" s="14"/>
      <c r="B823" s="5"/>
      <c r="C823" s="15" t="str">
        <f aca="false">IF(B823="","",IFERROR(INDEX('Mug Marks'!$A$5:$A$204,MATCH(B823,'Mug Marks'!$B$5:$B$204,0)),"(not on Mug Marks)"))</f>
        <v/>
      </c>
      <c r="D823" s="6"/>
      <c r="E823" s="4"/>
      <c r="F823" s="4"/>
      <c r="G823" s="8" t="str">
        <f aca="false">IF(A823="","",A823+Settings!$B$6/24)</f>
        <v/>
      </c>
    </row>
    <row r="824" customFormat="false" ht="15" hidden="false" customHeight="false" outlineLevel="0" collapsed="false">
      <c r="A824" s="14"/>
      <c r="B824" s="5"/>
      <c r="C824" s="15" t="str">
        <f aca="false">IF(B824="","",IFERROR(INDEX('Mug Marks'!$A$5:$A$204,MATCH(B824,'Mug Marks'!$B$5:$B$204,0)),"(not on Mug Marks)"))</f>
        <v/>
      </c>
      <c r="D824" s="6"/>
      <c r="E824" s="4"/>
      <c r="F824" s="4"/>
      <c r="G824" s="8" t="str">
        <f aca="false">IF(A824="","",A824+Settings!$B$6/24)</f>
        <v/>
      </c>
    </row>
    <row r="825" customFormat="false" ht="15" hidden="false" customHeight="false" outlineLevel="0" collapsed="false">
      <c r="A825" s="14"/>
      <c r="B825" s="5"/>
      <c r="C825" s="15" t="str">
        <f aca="false">IF(B825="","",IFERROR(INDEX('Mug Marks'!$A$5:$A$204,MATCH(B825,'Mug Marks'!$B$5:$B$204,0)),"(not on Mug Marks)"))</f>
        <v/>
      </c>
      <c r="D825" s="6"/>
      <c r="E825" s="4"/>
      <c r="F825" s="4"/>
      <c r="G825" s="8" t="str">
        <f aca="false">IF(A825="","",A825+Settings!$B$6/24)</f>
        <v/>
      </c>
    </row>
    <row r="826" customFormat="false" ht="15" hidden="false" customHeight="false" outlineLevel="0" collapsed="false">
      <c r="A826" s="14"/>
      <c r="B826" s="5"/>
      <c r="C826" s="15" t="str">
        <f aca="false">IF(B826="","",IFERROR(INDEX('Mug Marks'!$A$5:$A$204,MATCH(B826,'Mug Marks'!$B$5:$B$204,0)),"(not on Mug Marks)"))</f>
        <v/>
      </c>
      <c r="D826" s="6"/>
      <c r="E826" s="4"/>
      <c r="F826" s="4"/>
      <c r="G826" s="8" t="str">
        <f aca="false">IF(A826="","",A826+Settings!$B$6/24)</f>
        <v/>
      </c>
    </row>
    <row r="827" customFormat="false" ht="15" hidden="false" customHeight="false" outlineLevel="0" collapsed="false">
      <c r="A827" s="14"/>
      <c r="B827" s="5"/>
      <c r="C827" s="15" t="str">
        <f aca="false">IF(B827="","",IFERROR(INDEX('Mug Marks'!$A$5:$A$204,MATCH(B827,'Mug Marks'!$B$5:$B$204,0)),"(not on Mug Marks)"))</f>
        <v/>
      </c>
      <c r="D827" s="6"/>
      <c r="E827" s="4"/>
      <c r="F827" s="4"/>
      <c r="G827" s="8" t="str">
        <f aca="false">IF(A827="","",A827+Settings!$B$6/24)</f>
        <v/>
      </c>
    </row>
    <row r="828" customFormat="false" ht="15" hidden="false" customHeight="false" outlineLevel="0" collapsed="false">
      <c r="A828" s="14"/>
      <c r="B828" s="5"/>
      <c r="C828" s="15" t="str">
        <f aca="false">IF(B828="","",IFERROR(INDEX('Mug Marks'!$A$5:$A$204,MATCH(B828,'Mug Marks'!$B$5:$B$204,0)),"(not on Mug Marks)"))</f>
        <v/>
      </c>
      <c r="D828" s="6"/>
      <c r="E828" s="4"/>
      <c r="F828" s="4"/>
      <c r="G828" s="8" t="str">
        <f aca="false">IF(A828="","",A828+Settings!$B$6/24)</f>
        <v/>
      </c>
    </row>
    <row r="829" customFormat="false" ht="15" hidden="false" customHeight="false" outlineLevel="0" collapsed="false">
      <c r="A829" s="14"/>
      <c r="B829" s="5"/>
      <c r="C829" s="15" t="str">
        <f aca="false">IF(B829="","",IFERROR(INDEX('Mug Marks'!$A$5:$A$204,MATCH(B829,'Mug Marks'!$B$5:$B$204,0)),"(not on Mug Marks)"))</f>
        <v/>
      </c>
      <c r="D829" s="6"/>
      <c r="E829" s="4"/>
      <c r="F829" s="4"/>
      <c r="G829" s="8" t="str">
        <f aca="false">IF(A829="","",A829+Settings!$B$6/24)</f>
        <v/>
      </c>
    </row>
    <row r="830" customFormat="false" ht="15" hidden="false" customHeight="false" outlineLevel="0" collapsed="false">
      <c r="A830" s="14"/>
      <c r="B830" s="5"/>
      <c r="C830" s="15" t="str">
        <f aca="false">IF(B830="","",IFERROR(INDEX('Mug Marks'!$A$5:$A$204,MATCH(B830,'Mug Marks'!$B$5:$B$204,0)),"(not on Mug Marks)"))</f>
        <v/>
      </c>
      <c r="D830" s="6"/>
      <c r="E830" s="4"/>
      <c r="F830" s="4"/>
      <c r="G830" s="8" t="str">
        <f aca="false">IF(A830="","",A830+Settings!$B$6/24)</f>
        <v/>
      </c>
    </row>
    <row r="831" customFormat="false" ht="15" hidden="false" customHeight="false" outlineLevel="0" collapsed="false">
      <c r="A831" s="14"/>
      <c r="B831" s="5"/>
      <c r="C831" s="15" t="str">
        <f aca="false">IF(B831="","",IFERROR(INDEX('Mug Marks'!$A$5:$A$204,MATCH(B831,'Mug Marks'!$B$5:$B$204,0)),"(not on Mug Marks)"))</f>
        <v/>
      </c>
      <c r="D831" s="6"/>
      <c r="E831" s="4"/>
      <c r="F831" s="4"/>
      <c r="G831" s="8" t="str">
        <f aca="false">IF(A831="","",A831+Settings!$B$6/24)</f>
        <v/>
      </c>
    </row>
    <row r="832" customFormat="false" ht="15" hidden="false" customHeight="false" outlineLevel="0" collapsed="false">
      <c r="A832" s="14"/>
      <c r="B832" s="5"/>
      <c r="C832" s="15" t="str">
        <f aca="false">IF(B832="","",IFERROR(INDEX('Mug Marks'!$A$5:$A$204,MATCH(B832,'Mug Marks'!$B$5:$B$204,0)),"(not on Mug Marks)"))</f>
        <v/>
      </c>
      <c r="D832" s="6"/>
      <c r="E832" s="4"/>
      <c r="F832" s="4"/>
      <c r="G832" s="8" t="str">
        <f aca="false">IF(A832="","",A832+Settings!$B$6/24)</f>
        <v/>
      </c>
    </row>
    <row r="833" customFormat="false" ht="15" hidden="false" customHeight="false" outlineLevel="0" collapsed="false">
      <c r="A833" s="14"/>
      <c r="B833" s="5"/>
      <c r="C833" s="15" t="str">
        <f aca="false">IF(B833="","",IFERROR(INDEX('Mug Marks'!$A$5:$A$204,MATCH(B833,'Mug Marks'!$B$5:$B$204,0)),"(not on Mug Marks)"))</f>
        <v/>
      </c>
      <c r="D833" s="6"/>
      <c r="E833" s="4"/>
      <c r="F833" s="4"/>
      <c r="G833" s="8" t="str">
        <f aca="false">IF(A833="","",A833+Settings!$B$6/24)</f>
        <v/>
      </c>
    </row>
    <row r="834" customFormat="false" ht="15" hidden="false" customHeight="false" outlineLevel="0" collapsed="false">
      <c r="A834" s="14"/>
      <c r="B834" s="5"/>
      <c r="C834" s="15" t="str">
        <f aca="false">IF(B834="","",IFERROR(INDEX('Mug Marks'!$A$5:$A$204,MATCH(B834,'Mug Marks'!$B$5:$B$204,0)),"(not on Mug Marks)"))</f>
        <v/>
      </c>
      <c r="D834" s="6"/>
      <c r="E834" s="4"/>
      <c r="F834" s="4"/>
      <c r="G834" s="8" t="str">
        <f aca="false">IF(A834="","",A834+Settings!$B$6/24)</f>
        <v/>
      </c>
    </row>
    <row r="835" customFormat="false" ht="15" hidden="false" customHeight="false" outlineLevel="0" collapsed="false">
      <c r="A835" s="14"/>
      <c r="B835" s="5"/>
      <c r="C835" s="15" t="str">
        <f aca="false">IF(B835="","",IFERROR(INDEX('Mug Marks'!$A$5:$A$204,MATCH(B835,'Mug Marks'!$B$5:$B$204,0)),"(not on Mug Marks)"))</f>
        <v/>
      </c>
      <c r="D835" s="6"/>
      <c r="E835" s="4"/>
      <c r="F835" s="4"/>
      <c r="G835" s="8" t="str">
        <f aca="false">IF(A835="","",A835+Settings!$B$6/24)</f>
        <v/>
      </c>
    </row>
    <row r="836" customFormat="false" ht="15" hidden="false" customHeight="false" outlineLevel="0" collapsed="false">
      <c r="A836" s="14"/>
      <c r="B836" s="5"/>
      <c r="C836" s="15" t="str">
        <f aca="false">IF(B836="","",IFERROR(INDEX('Mug Marks'!$A$5:$A$204,MATCH(B836,'Mug Marks'!$B$5:$B$204,0)),"(not on Mug Marks)"))</f>
        <v/>
      </c>
      <c r="D836" s="6"/>
      <c r="E836" s="4"/>
      <c r="F836" s="4"/>
      <c r="G836" s="8" t="str">
        <f aca="false">IF(A836="","",A836+Settings!$B$6/24)</f>
        <v/>
      </c>
    </row>
    <row r="837" customFormat="false" ht="15" hidden="false" customHeight="false" outlineLevel="0" collapsed="false">
      <c r="A837" s="14"/>
      <c r="B837" s="5"/>
      <c r="C837" s="15" t="str">
        <f aca="false">IF(B837="","",IFERROR(INDEX('Mug Marks'!$A$5:$A$204,MATCH(B837,'Mug Marks'!$B$5:$B$204,0)),"(not on Mug Marks)"))</f>
        <v/>
      </c>
      <c r="D837" s="6"/>
      <c r="E837" s="4"/>
      <c r="F837" s="4"/>
      <c r="G837" s="8" t="str">
        <f aca="false">IF(A837="","",A837+Settings!$B$6/24)</f>
        <v/>
      </c>
    </row>
    <row r="838" customFormat="false" ht="15" hidden="false" customHeight="false" outlineLevel="0" collapsed="false">
      <c r="A838" s="14"/>
      <c r="B838" s="5"/>
      <c r="C838" s="15" t="str">
        <f aca="false">IF(B838="","",IFERROR(INDEX('Mug Marks'!$A$5:$A$204,MATCH(B838,'Mug Marks'!$B$5:$B$204,0)),"(not on Mug Marks)"))</f>
        <v/>
      </c>
      <c r="D838" s="6"/>
      <c r="E838" s="4"/>
      <c r="F838" s="4"/>
      <c r="G838" s="8" t="str">
        <f aca="false">IF(A838="","",A838+Settings!$B$6/24)</f>
        <v/>
      </c>
    </row>
    <row r="839" customFormat="false" ht="15" hidden="false" customHeight="false" outlineLevel="0" collapsed="false">
      <c r="A839" s="14"/>
      <c r="B839" s="5"/>
      <c r="C839" s="15" t="str">
        <f aca="false">IF(B839="","",IFERROR(INDEX('Mug Marks'!$A$5:$A$204,MATCH(B839,'Mug Marks'!$B$5:$B$204,0)),"(not on Mug Marks)"))</f>
        <v/>
      </c>
      <c r="D839" s="6"/>
      <c r="E839" s="4"/>
      <c r="F839" s="4"/>
      <c r="G839" s="8" t="str">
        <f aca="false">IF(A839="","",A839+Settings!$B$6/24)</f>
        <v/>
      </c>
    </row>
    <row r="840" customFormat="false" ht="15" hidden="false" customHeight="false" outlineLevel="0" collapsed="false">
      <c r="A840" s="14"/>
      <c r="B840" s="5"/>
      <c r="C840" s="15" t="str">
        <f aca="false">IF(B840="","",IFERROR(INDEX('Mug Marks'!$A$5:$A$204,MATCH(B840,'Mug Marks'!$B$5:$B$204,0)),"(not on Mug Marks)"))</f>
        <v/>
      </c>
      <c r="D840" s="6"/>
      <c r="E840" s="4"/>
      <c r="F840" s="4"/>
      <c r="G840" s="8" t="str">
        <f aca="false">IF(A840="","",A840+Settings!$B$6/24)</f>
        <v/>
      </c>
    </row>
    <row r="841" customFormat="false" ht="15" hidden="false" customHeight="false" outlineLevel="0" collapsed="false">
      <c r="A841" s="14"/>
      <c r="B841" s="5"/>
      <c r="C841" s="15" t="str">
        <f aca="false">IF(B841="","",IFERROR(INDEX('Mug Marks'!$A$5:$A$204,MATCH(B841,'Mug Marks'!$B$5:$B$204,0)),"(not on Mug Marks)"))</f>
        <v/>
      </c>
      <c r="D841" s="6"/>
      <c r="E841" s="4"/>
      <c r="F841" s="4"/>
      <c r="G841" s="8" t="str">
        <f aca="false">IF(A841="","",A841+Settings!$B$6/24)</f>
        <v/>
      </c>
    </row>
    <row r="842" customFormat="false" ht="15" hidden="false" customHeight="false" outlineLevel="0" collapsed="false">
      <c r="A842" s="14"/>
      <c r="B842" s="5"/>
      <c r="C842" s="15" t="str">
        <f aca="false">IF(B842="","",IFERROR(INDEX('Mug Marks'!$A$5:$A$204,MATCH(B842,'Mug Marks'!$B$5:$B$204,0)),"(not on Mug Marks)"))</f>
        <v/>
      </c>
      <c r="D842" s="6"/>
      <c r="E842" s="4"/>
      <c r="F842" s="4"/>
      <c r="G842" s="8" t="str">
        <f aca="false">IF(A842="","",A842+Settings!$B$6/24)</f>
        <v/>
      </c>
    </row>
    <row r="843" customFormat="false" ht="15" hidden="false" customHeight="false" outlineLevel="0" collapsed="false">
      <c r="A843" s="14"/>
      <c r="B843" s="5"/>
      <c r="C843" s="15" t="str">
        <f aca="false">IF(B843="","",IFERROR(INDEX('Mug Marks'!$A$5:$A$204,MATCH(B843,'Mug Marks'!$B$5:$B$204,0)),"(not on Mug Marks)"))</f>
        <v/>
      </c>
      <c r="D843" s="6"/>
      <c r="E843" s="4"/>
      <c r="F843" s="4"/>
      <c r="G843" s="8" t="str">
        <f aca="false">IF(A843="","",A843+Settings!$B$6/24)</f>
        <v/>
      </c>
    </row>
    <row r="844" customFormat="false" ht="15" hidden="false" customHeight="false" outlineLevel="0" collapsed="false">
      <c r="A844" s="14"/>
      <c r="B844" s="5"/>
      <c r="C844" s="15" t="str">
        <f aca="false">IF(B844="","",IFERROR(INDEX('Mug Marks'!$A$5:$A$204,MATCH(B844,'Mug Marks'!$B$5:$B$204,0)),"(not on Mug Marks)"))</f>
        <v/>
      </c>
      <c r="D844" s="6"/>
      <c r="E844" s="4"/>
      <c r="F844" s="4"/>
      <c r="G844" s="8" t="str">
        <f aca="false">IF(A844="","",A844+Settings!$B$6/24)</f>
        <v/>
      </c>
    </row>
    <row r="845" customFormat="false" ht="15" hidden="false" customHeight="false" outlineLevel="0" collapsed="false">
      <c r="A845" s="14"/>
      <c r="B845" s="5"/>
      <c r="C845" s="15" t="str">
        <f aca="false">IF(B845="","",IFERROR(INDEX('Mug Marks'!$A$5:$A$204,MATCH(B845,'Mug Marks'!$B$5:$B$204,0)),"(not on Mug Marks)"))</f>
        <v/>
      </c>
      <c r="D845" s="6"/>
      <c r="E845" s="4"/>
      <c r="F845" s="4"/>
      <c r="G845" s="8" t="str">
        <f aca="false">IF(A845="","",A845+Settings!$B$6/24)</f>
        <v/>
      </c>
    </row>
    <row r="846" customFormat="false" ht="15" hidden="false" customHeight="false" outlineLevel="0" collapsed="false">
      <c r="A846" s="14"/>
      <c r="B846" s="5"/>
      <c r="C846" s="15" t="str">
        <f aca="false">IF(B846="","",IFERROR(INDEX('Mug Marks'!$A$5:$A$204,MATCH(B846,'Mug Marks'!$B$5:$B$204,0)),"(not on Mug Marks)"))</f>
        <v/>
      </c>
      <c r="D846" s="6"/>
      <c r="E846" s="4"/>
      <c r="F846" s="4"/>
      <c r="G846" s="8" t="str">
        <f aca="false">IF(A846="","",A846+Settings!$B$6/24)</f>
        <v/>
      </c>
    </row>
    <row r="847" customFormat="false" ht="15" hidden="false" customHeight="false" outlineLevel="0" collapsed="false">
      <c r="A847" s="14"/>
      <c r="B847" s="5"/>
      <c r="C847" s="15" t="str">
        <f aca="false">IF(B847="","",IFERROR(INDEX('Mug Marks'!$A$5:$A$204,MATCH(B847,'Mug Marks'!$B$5:$B$204,0)),"(not on Mug Marks)"))</f>
        <v/>
      </c>
      <c r="D847" s="6"/>
      <c r="E847" s="4"/>
      <c r="F847" s="4"/>
      <c r="G847" s="8" t="str">
        <f aca="false">IF(A847="","",A847+Settings!$B$6/24)</f>
        <v/>
      </c>
    </row>
    <row r="848" customFormat="false" ht="15" hidden="false" customHeight="false" outlineLevel="0" collapsed="false">
      <c r="A848" s="14"/>
      <c r="B848" s="5"/>
      <c r="C848" s="15" t="str">
        <f aca="false">IF(B848="","",IFERROR(INDEX('Mug Marks'!$A$5:$A$204,MATCH(B848,'Mug Marks'!$B$5:$B$204,0)),"(not on Mug Marks)"))</f>
        <v/>
      </c>
      <c r="D848" s="6"/>
      <c r="E848" s="4"/>
      <c r="F848" s="4"/>
      <c r="G848" s="8" t="str">
        <f aca="false">IF(A848="","",A848+Settings!$B$6/24)</f>
        <v/>
      </c>
    </row>
    <row r="849" customFormat="false" ht="15" hidden="false" customHeight="false" outlineLevel="0" collapsed="false">
      <c r="A849" s="14"/>
      <c r="B849" s="5"/>
      <c r="C849" s="15" t="str">
        <f aca="false">IF(B849="","",IFERROR(INDEX('Mug Marks'!$A$5:$A$204,MATCH(B849,'Mug Marks'!$B$5:$B$204,0)),"(not on Mug Marks)"))</f>
        <v/>
      </c>
      <c r="D849" s="6"/>
      <c r="E849" s="4"/>
      <c r="F849" s="4"/>
      <c r="G849" s="8" t="str">
        <f aca="false">IF(A849="","",A849+Settings!$B$6/24)</f>
        <v/>
      </c>
    </row>
    <row r="850" customFormat="false" ht="15" hidden="false" customHeight="false" outlineLevel="0" collapsed="false">
      <c r="A850" s="14"/>
      <c r="B850" s="5"/>
      <c r="C850" s="15" t="str">
        <f aca="false">IF(B850="","",IFERROR(INDEX('Mug Marks'!$A$5:$A$204,MATCH(B850,'Mug Marks'!$B$5:$B$204,0)),"(not on Mug Marks)"))</f>
        <v/>
      </c>
      <c r="D850" s="6"/>
      <c r="E850" s="4"/>
      <c r="F850" s="4"/>
      <c r="G850" s="8" t="str">
        <f aca="false">IF(A850="","",A850+Settings!$B$6/24)</f>
        <v/>
      </c>
    </row>
    <row r="851" customFormat="false" ht="15" hidden="false" customHeight="false" outlineLevel="0" collapsed="false">
      <c r="A851" s="14"/>
      <c r="B851" s="5"/>
      <c r="C851" s="15" t="str">
        <f aca="false">IF(B851="","",IFERROR(INDEX('Mug Marks'!$A$5:$A$204,MATCH(B851,'Mug Marks'!$B$5:$B$204,0)),"(not on Mug Marks)"))</f>
        <v/>
      </c>
      <c r="D851" s="6"/>
      <c r="E851" s="4"/>
      <c r="F851" s="4"/>
      <c r="G851" s="8" t="str">
        <f aca="false">IF(A851="","",A851+Settings!$B$6/24)</f>
        <v/>
      </c>
    </row>
    <row r="852" customFormat="false" ht="15" hidden="false" customHeight="false" outlineLevel="0" collapsed="false">
      <c r="A852" s="14"/>
      <c r="B852" s="5"/>
      <c r="C852" s="15" t="str">
        <f aca="false">IF(B852="","",IFERROR(INDEX('Mug Marks'!$A$5:$A$204,MATCH(B852,'Mug Marks'!$B$5:$B$204,0)),"(not on Mug Marks)"))</f>
        <v/>
      </c>
      <c r="D852" s="6"/>
      <c r="E852" s="4"/>
      <c r="F852" s="4"/>
      <c r="G852" s="8" t="str">
        <f aca="false">IF(A852="","",A852+Settings!$B$6/24)</f>
        <v/>
      </c>
    </row>
    <row r="853" customFormat="false" ht="15" hidden="false" customHeight="false" outlineLevel="0" collapsed="false">
      <c r="A853" s="14"/>
      <c r="B853" s="5"/>
      <c r="C853" s="15" t="str">
        <f aca="false">IF(B853="","",IFERROR(INDEX('Mug Marks'!$A$5:$A$204,MATCH(B853,'Mug Marks'!$B$5:$B$204,0)),"(not on Mug Marks)"))</f>
        <v/>
      </c>
      <c r="D853" s="6"/>
      <c r="E853" s="4"/>
      <c r="F853" s="4"/>
      <c r="G853" s="8" t="str">
        <f aca="false">IF(A853="","",A853+Settings!$B$6/24)</f>
        <v/>
      </c>
    </row>
    <row r="854" customFormat="false" ht="15" hidden="false" customHeight="false" outlineLevel="0" collapsed="false">
      <c r="A854" s="14"/>
      <c r="B854" s="5"/>
      <c r="C854" s="15" t="str">
        <f aca="false">IF(B854="","",IFERROR(INDEX('Mug Marks'!$A$5:$A$204,MATCH(B854,'Mug Marks'!$B$5:$B$204,0)),"(not on Mug Marks)"))</f>
        <v/>
      </c>
      <c r="D854" s="6"/>
      <c r="E854" s="4"/>
      <c r="F854" s="4"/>
      <c r="G854" s="8" t="str">
        <f aca="false">IF(A854="","",A854+Settings!$B$6/24)</f>
        <v/>
      </c>
    </row>
    <row r="855" customFormat="false" ht="15" hidden="false" customHeight="false" outlineLevel="0" collapsed="false">
      <c r="A855" s="14"/>
      <c r="B855" s="5"/>
      <c r="C855" s="15" t="str">
        <f aca="false">IF(B855="","",IFERROR(INDEX('Mug Marks'!$A$5:$A$204,MATCH(B855,'Mug Marks'!$B$5:$B$204,0)),"(not on Mug Marks)"))</f>
        <v/>
      </c>
      <c r="D855" s="6"/>
      <c r="E855" s="4"/>
      <c r="F855" s="4"/>
      <c r="G855" s="8" t="str">
        <f aca="false">IF(A855="","",A855+Settings!$B$6/24)</f>
        <v/>
      </c>
    </row>
    <row r="856" customFormat="false" ht="15" hidden="false" customHeight="false" outlineLevel="0" collapsed="false">
      <c r="A856" s="14"/>
      <c r="B856" s="5"/>
      <c r="C856" s="15" t="str">
        <f aca="false">IF(B856="","",IFERROR(INDEX('Mug Marks'!$A$5:$A$204,MATCH(B856,'Mug Marks'!$B$5:$B$204,0)),"(not on Mug Marks)"))</f>
        <v/>
      </c>
      <c r="D856" s="6"/>
      <c r="E856" s="4"/>
      <c r="F856" s="4"/>
      <c r="G856" s="8" t="str">
        <f aca="false">IF(A856="","",A856+Settings!$B$6/24)</f>
        <v/>
      </c>
    </row>
    <row r="857" customFormat="false" ht="15" hidden="false" customHeight="false" outlineLevel="0" collapsed="false">
      <c r="A857" s="14"/>
      <c r="B857" s="5"/>
      <c r="C857" s="15" t="str">
        <f aca="false">IF(B857="","",IFERROR(INDEX('Mug Marks'!$A$5:$A$204,MATCH(B857,'Mug Marks'!$B$5:$B$204,0)),"(not on Mug Marks)"))</f>
        <v/>
      </c>
      <c r="D857" s="6"/>
      <c r="E857" s="4"/>
      <c r="F857" s="4"/>
      <c r="G857" s="8" t="str">
        <f aca="false">IF(A857="","",A857+Settings!$B$6/24)</f>
        <v/>
      </c>
    </row>
    <row r="858" customFormat="false" ht="15" hidden="false" customHeight="false" outlineLevel="0" collapsed="false">
      <c r="A858" s="14"/>
      <c r="B858" s="5"/>
      <c r="C858" s="15" t="str">
        <f aca="false">IF(B858="","",IFERROR(INDEX('Mug Marks'!$A$5:$A$204,MATCH(B858,'Mug Marks'!$B$5:$B$204,0)),"(not on Mug Marks)"))</f>
        <v/>
      </c>
      <c r="D858" s="6"/>
      <c r="E858" s="4"/>
      <c r="F858" s="4"/>
      <c r="G858" s="8" t="str">
        <f aca="false">IF(A858="","",A858+Settings!$B$6/24)</f>
        <v/>
      </c>
    </row>
    <row r="859" customFormat="false" ht="15" hidden="false" customHeight="false" outlineLevel="0" collapsed="false">
      <c r="A859" s="14"/>
      <c r="B859" s="5"/>
      <c r="C859" s="15" t="str">
        <f aca="false">IF(B859="","",IFERROR(INDEX('Mug Marks'!$A$5:$A$204,MATCH(B859,'Mug Marks'!$B$5:$B$204,0)),"(not on Mug Marks)"))</f>
        <v/>
      </c>
      <c r="D859" s="6"/>
      <c r="E859" s="4"/>
      <c r="F859" s="4"/>
      <c r="G859" s="8" t="str">
        <f aca="false">IF(A859="","",A859+Settings!$B$6/24)</f>
        <v/>
      </c>
    </row>
    <row r="860" customFormat="false" ht="15" hidden="false" customHeight="false" outlineLevel="0" collapsed="false">
      <c r="A860" s="14"/>
      <c r="B860" s="5"/>
      <c r="C860" s="15" t="str">
        <f aca="false">IF(B860="","",IFERROR(INDEX('Mug Marks'!$A$5:$A$204,MATCH(B860,'Mug Marks'!$B$5:$B$204,0)),"(not on Mug Marks)"))</f>
        <v/>
      </c>
      <c r="D860" s="6"/>
      <c r="E860" s="4"/>
      <c r="F860" s="4"/>
      <c r="G860" s="8" t="str">
        <f aca="false">IF(A860="","",A860+Settings!$B$6/24)</f>
        <v/>
      </c>
    </row>
    <row r="861" customFormat="false" ht="15" hidden="false" customHeight="false" outlineLevel="0" collapsed="false">
      <c r="A861" s="14"/>
      <c r="B861" s="5"/>
      <c r="C861" s="15" t="str">
        <f aca="false">IF(B861="","",IFERROR(INDEX('Mug Marks'!$A$5:$A$204,MATCH(B861,'Mug Marks'!$B$5:$B$204,0)),"(not on Mug Marks)"))</f>
        <v/>
      </c>
      <c r="D861" s="6"/>
      <c r="E861" s="4"/>
      <c r="F861" s="4"/>
      <c r="G861" s="8" t="str">
        <f aca="false">IF(A861="","",A861+Settings!$B$6/24)</f>
        <v/>
      </c>
    </row>
    <row r="862" customFormat="false" ht="15" hidden="false" customHeight="false" outlineLevel="0" collapsed="false">
      <c r="A862" s="14"/>
      <c r="B862" s="5"/>
      <c r="C862" s="15" t="str">
        <f aca="false">IF(B862="","",IFERROR(INDEX('Mug Marks'!$A$5:$A$204,MATCH(B862,'Mug Marks'!$B$5:$B$204,0)),"(not on Mug Marks)"))</f>
        <v/>
      </c>
      <c r="D862" s="6"/>
      <c r="E862" s="4"/>
      <c r="F862" s="4"/>
      <c r="G862" s="8" t="str">
        <f aca="false">IF(A862="","",A862+Settings!$B$6/24)</f>
        <v/>
      </c>
    </row>
    <row r="863" customFormat="false" ht="15" hidden="false" customHeight="false" outlineLevel="0" collapsed="false">
      <c r="A863" s="14"/>
      <c r="B863" s="5"/>
      <c r="C863" s="15" t="str">
        <f aca="false">IF(B863="","",IFERROR(INDEX('Mug Marks'!$A$5:$A$204,MATCH(B863,'Mug Marks'!$B$5:$B$204,0)),"(not on Mug Marks)"))</f>
        <v/>
      </c>
      <c r="D863" s="6"/>
      <c r="E863" s="4"/>
      <c r="F863" s="4"/>
      <c r="G863" s="8" t="str">
        <f aca="false">IF(A863="","",A863+Settings!$B$6/24)</f>
        <v/>
      </c>
    </row>
    <row r="864" customFormat="false" ht="15" hidden="false" customHeight="false" outlineLevel="0" collapsed="false">
      <c r="A864" s="14"/>
      <c r="B864" s="5"/>
      <c r="C864" s="15" t="str">
        <f aca="false">IF(B864="","",IFERROR(INDEX('Mug Marks'!$A$5:$A$204,MATCH(B864,'Mug Marks'!$B$5:$B$204,0)),"(not on Mug Marks)"))</f>
        <v/>
      </c>
      <c r="D864" s="6"/>
      <c r="E864" s="4"/>
      <c r="F864" s="4"/>
      <c r="G864" s="8" t="str">
        <f aca="false">IF(A864="","",A864+Settings!$B$6/24)</f>
        <v/>
      </c>
    </row>
    <row r="865" customFormat="false" ht="15" hidden="false" customHeight="false" outlineLevel="0" collapsed="false">
      <c r="A865" s="14"/>
      <c r="B865" s="5"/>
      <c r="C865" s="15" t="str">
        <f aca="false">IF(B865="","",IFERROR(INDEX('Mug Marks'!$A$5:$A$204,MATCH(B865,'Mug Marks'!$B$5:$B$204,0)),"(not on Mug Marks)"))</f>
        <v/>
      </c>
      <c r="D865" s="6"/>
      <c r="E865" s="4"/>
      <c r="F865" s="4"/>
      <c r="G865" s="8" t="str">
        <f aca="false">IF(A865="","",A865+Settings!$B$6/24)</f>
        <v/>
      </c>
    </row>
    <row r="866" customFormat="false" ht="15" hidden="false" customHeight="false" outlineLevel="0" collapsed="false">
      <c r="A866" s="14"/>
      <c r="B866" s="5"/>
      <c r="C866" s="15" t="str">
        <f aca="false">IF(B866="","",IFERROR(INDEX('Mug Marks'!$A$5:$A$204,MATCH(B866,'Mug Marks'!$B$5:$B$204,0)),"(not on Mug Marks)"))</f>
        <v/>
      </c>
      <c r="D866" s="6"/>
      <c r="E866" s="4"/>
      <c r="F866" s="4"/>
      <c r="G866" s="8" t="str">
        <f aca="false">IF(A866="","",A866+Settings!$B$6/24)</f>
        <v/>
      </c>
    </row>
    <row r="867" customFormat="false" ht="15" hidden="false" customHeight="false" outlineLevel="0" collapsed="false">
      <c r="A867" s="14"/>
      <c r="B867" s="5"/>
      <c r="C867" s="15" t="str">
        <f aca="false">IF(B867="","",IFERROR(INDEX('Mug Marks'!$A$5:$A$204,MATCH(B867,'Mug Marks'!$B$5:$B$204,0)),"(not on Mug Marks)"))</f>
        <v/>
      </c>
      <c r="D867" s="6"/>
      <c r="E867" s="4"/>
      <c r="F867" s="4"/>
      <c r="G867" s="8" t="str">
        <f aca="false">IF(A867="","",A867+Settings!$B$6/24)</f>
        <v/>
      </c>
    </row>
    <row r="868" customFormat="false" ht="15" hidden="false" customHeight="false" outlineLevel="0" collapsed="false">
      <c r="A868" s="14"/>
      <c r="B868" s="5"/>
      <c r="C868" s="15" t="str">
        <f aca="false">IF(B868="","",IFERROR(INDEX('Mug Marks'!$A$5:$A$204,MATCH(B868,'Mug Marks'!$B$5:$B$204,0)),"(not on Mug Marks)"))</f>
        <v/>
      </c>
      <c r="D868" s="6"/>
      <c r="E868" s="4"/>
      <c r="F868" s="4"/>
      <c r="G868" s="8" t="str">
        <f aca="false">IF(A868="","",A868+Settings!$B$6/24)</f>
        <v/>
      </c>
    </row>
    <row r="869" customFormat="false" ht="15" hidden="false" customHeight="false" outlineLevel="0" collapsed="false">
      <c r="A869" s="14"/>
      <c r="B869" s="5"/>
      <c r="C869" s="15" t="str">
        <f aca="false">IF(B869="","",IFERROR(INDEX('Mug Marks'!$A$5:$A$204,MATCH(B869,'Mug Marks'!$B$5:$B$204,0)),"(not on Mug Marks)"))</f>
        <v/>
      </c>
      <c r="D869" s="6"/>
      <c r="E869" s="4"/>
      <c r="F869" s="4"/>
      <c r="G869" s="8" t="str">
        <f aca="false">IF(A869="","",A869+Settings!$B$6/24)</f>
        <v/>
      </c>
    </row>
    <row r="870" customFormat="false" ht="15" hidden="false" customHeight="false" outlineLevel="0" collapsed="false">
      <c r="A870" s="14"/>
      <c r="B870" s="5"/>
      <c r="C870" s="15" t="str">
        <f aca="false">IF(B870="","",IFERROR(INDEX('Mug Marks'!$A$5:$A$204,MATCH(B870,'Mug Marks'!$B$5:$B$204,0)),"(not on Mug Marks)"))</f>
        <v/>
      </c>
      <c r="D870" s="6"/>
      <c r="E870" s="4"/>
      <c r="F870" s="4"/>
      <c r="G870" s="8" t="str">
        <f aca="false">IF(A870="","",A870+Settings!$B$6/24)</f>
        <v/>
      </c>
    </row>
    <row r="871" customFormat="false" ht="15" hidden="false" customHeight="false" outlineLevel="0" collapsed="false">
      <c r="A871" s="14"/>
      <c r="B871" s="5"/>
      <c r="C871" s="15" t="str">
        <f aca="false">IF(B871="","",IFERROR(INDEX('Mug Marks'!$A$5:$A$204,MATCH(B871,'Mug Marks'!$B$5:$B$204,0)),"(not on Mug Marks)"))</f>
        <v/>
      </c>
      <c r="D871" s="6"/>
      <c r="E871" s="4"/>
      <c r="F871" s="4"/>
      <c r="G871" s="8" t="str">
        <f aca="false">IF(A871="","",A871+Settings!$B$6/24)</f>
        <v/>
      </c>
    </row>
    <row r="872" customFormat="false" ht="15" hidden="false" customHeight="false" outlineLevel="0" collapsed="false">
      <c r="A872" s="14"/>
      <c r="B872" s="5"/>
      <c r="C872" s="15" t="str">
        <f aca="false">IF(B872="","",IFERROR(INDEX('Mug Marks'!$A$5:$A$204,MATCH(B872,'Mug Marks'!$B$5:$B$204,0)),"(not on Mug Marks)"))</f>
        <v/>
      </c>
      <c r="D872" s="6"/>
      <c r="E872" s="4"/>
      <c r="F872" s="4"/>
      <c r="G872" s="8" t="str">
        <f aca="false">IF(A872="","",A872+Settings!$B$6/24)</f>
        <v/>
      </c>
    </row>
    <row r="873" customFormat="false" ht="15" hidden="false" customHeight="false" outlineLevel="0" collapsed="false">
      <c r="A873" s="14"/>
      <c r="B873" s="5"/>
      <c r="C873" s="15" t="str">
        <f aca="false">IF(B873="","",IFERROR(INDEX('Mug Marks'!$A$5:$A$204,MATCH(B873,'Mug Marks'!$B$5:$B$204,0)),"(not on Mug Marks)"))</f>
        <v/>
      </c>
      <c r="D873" s="6"/>
      <c r="E873" s="4"/>
      <c r="F873" s="4"/>
      <c r="G873" s="8" t="str">
        <f aca="false">IF(A873="","",A873+Settings!$B$6/24)</f>
        <v/>
      </c>
    </row>
    <row r="874" customFormat="false" ht="15" hidden="false" customHeight="false" outlineLevel="0" collapsed="false">
      <c r="A874" s="14"/>
      <c r="B874" s="5"/>
      <c r="C874" s="15" t="str">
        <f aca="false">IF(B874="","",IFERROR(INDEX('Mug Marks'!$A$5:$A$204,MATCH(B874,'Mug Marks'!$B$5:$B$204,0)),"(not on Mug Marks)"))</f>
        <v/>
      </c>
      <c r="D874" s="6"/>
      <c r="E874" s="4"/>
      <c r="F874" s="4"/>
      <c r="G874" s="8" t="str">
        <f aca="false">IF(A874="","",A874+Settings!$B$6/24)</f>
        <v/>
      </c>
    </row>
    <row r="875" customFormat="false" ht="15" hidden="false" customHeight="false" outlineLevel="0" collapsed="false">
      <c r="A875" s="14"/>
      <c r="B875" s="5"/>
      <c r="C875" s="15" t="str">
        <f aca="false">IF(B875="","",IFERROR(INDEX('Mug Marks'!$A$5:$A$204,MATCH(B875,'Mug Marks'!$B$5:$B$204,0)),"(not on Mug Marks)"))</f>
        <v/>
      </c>
      <c r="D875" s="6"/>
      <c r="E875" s="4"/>
      <c r="F875" s="4"/>
      <c r="G875" s="8" t="str">
        <f aca="false">IF(A875="","",A875+Settings!$B$6/24)</f>
        <v/>
      </c>
    </row>
    <row r="876" customFormat="false" ht="15" hidden="false" customHeight="false" outlineLevel="0" collapsed="false">
      <c r="A876" s="14"/>
      <c r="B876" s="5"/>
      <c r="C876" s="15" t="str">
        <f aca="false">IF(B876="","",IFERROR(INDEX('Mug Marks'!$A$5:$A$204,MATCH(B876,'Mug Marks'!$B$5:$B$204,0)),"(not on Mug Marks)"))</f>
        <v/>
      </c>
      <c r="D876" s="6"/>
      <c r="E876" s="4"/>
      <c r="F876" s="4"/>
      <c r="G876" s="8" t="str">
        <f aca="false">IF(A876="","",A876+Settings!$B$6/24)</f>
        <v/>
      </c>
    </row>
    <row r="877" customFormat="false" ht="15" hidden="false" customHeight="false" outlineLevel="0" collapsed="false">
      <c r="A877" s="14"/>
      <c r="B877" s="5"/>
      <c r="C877" s="15" t="str">
        <f aca="false">IF(B877="","",IFERROR(INDEX('Mug Marks'!$A$5:$A$204,MATCH(B877,'Mug Marks'!$B$5:$B$204,0)),"(not on Mug Marks)"))</f>
        <v/>
      </c>
      <c r="D877" s="6"/>
      <c r="E877" s="4"/>
      <c r="F877" s="4"/>
      <c r="G877" s="8" t="str">
        <f aca="false">IF(A877="","",A877+Settings!$B$6/24)</f>
        <v/>
      </c>
    </row>
    <row r="878" customFormat="false" ht="15" hidden="false" customHeight="false" outlineLevel="0" collapsed="false">
      <c r="A878" s="14"/>
      <c r="B878" s="5"/>
      <c r="C878" s="15" t="str">
        <f aca="false">IF(B878="","",IFERROR(INDEX('Mug Marks'!$A$5:$A$204,MATCH(B878,'Mug Marks'!$B$5:$B$204,0)),"(not on Mug Marks)"))</f>
        <v/>
      </c>
      <c r="D878" s="6"/>
      <c r="E878" s="4"/>
      <c r="F878" s="4"/>
      <c r="G878" s="8" t="str">
        <f aca="false">IF(A878="","",A878+Settings!$B$6/24)</f>
        <v/>
      </c>
    </row>
    <row r="879" customFormat="false" ht="15" hidden="false" customHeight="false" outlineLevel="0" collapsed="false">
      <c r="A879" s="14"/>
      <c r="B879" s="5"/>
      <c r="C879" s="15" t="str">
        <f aca="false">IF(B879="","",IFERROR(INDEX('Mug Marks'!$A$5:$A$204,MATCH(B879,'Mug Marks'!$B$5:$B$204,0)),"(not on Mug Marks)"))</f>
        <v/>
      </c>
      <c r="D879" s="6"/>
      <c r="E879" s="4"/>
      <c r="F879" s="4"/>
      <c r="G879" s="8" t="str">
        <f aca="false">IF(A879="","",A879+Settings!$B$6/24)</f>
        <v/>
      </c>
    </row>
    <row r="880" customFormat="false" ht="15" hidden="false" customHeight="false" outlineLevel="0" collapsed="false">
      <c r="A880" s="14"/>
      <c r="B880" s="5"/>
      <c r="C880" s="15" t="str">
        <f aca="false">IF(B880="","",IFERROR(INDEX('Mug Marks'!$A$5:$A$204,MATCH(B880,'Mug Marks'!$B$5:$B$204,0)),"(not on Mug Marks)"))</f>
        <v/>
      </c>
      <c r="D880" s="6"/>
      <c r="E880" s="4"/>
      <c r="F880" s="4"/>
      <c r="G880" s="8" t="str">
        <f aca="false">IF(A880="","",A880+Settings!$B$6/24)</f>
        <v/>
      </c>
    </row>
    <row r="881" customFormat="false" ht="15" hidden="false" customHeight="false" outlineLevel="0" collapsed="false">
      <c r="A881" s="14"/>
      <c r="B881" s="5"/>
      <c r="C881" s="15" t="str">
        <f aca="false">IF(B881="","",IFERROR(INDEX('Mug Marks'!$A$5:$A$204,MATCH(B881,'Mug Marks'!$B$5:$B$204,0)),"(not on Mug Marks)"))</f>
        <v/>
      </c>
      <c r="D881" s="6"/>
      <c r="E881" s="4"/>
      <c r="F881" s="4"/>
      <c r="G881" s="8" t="str">
        <f aca="false">IF(A881="","",A881+Settings!$B$6/24)</f>
        <v/>
      </c>
    </row>
    <row r="882" customFormat="false" ht="15" hidden="false" customHeight="false" outlineLevel="0" collapsed="false">
      <c r="A882" s="14"/>
      <c r="B882" s="5"/>
      <c r="C882" s="15" t="str">
        <f aca="false">IF(B882="","",IFERROR(INDEX('Mug Marks'!$A$5:$A$204,MATCH(B882,'Mug Marks'!$B$5:$B$204,0)),"(not on Mug Marks)"))</f>
        <v/>
      </c>
      <c r="D882" s="6"/>
      <c r="E882" s="4"/>
      <c r="F882" s="4"/>
      <c r="G882" s="8" t="str">
        <f aca="false">IF(A882="","",A882+Settings!$B$6/24)</f>
        <v/>
      </c>
    </row>
    <row r="883" customFormat="false" ht="15" hidden="false" customHeight="false" outlineLevel="0" collapsed="false">
      <c r="A883" s="14"/>
      <c r="B883" s="5"/>
      <c r="C883" s="15" t="str">
        <f aca="false">IF(B883="","",IFERROR(INDEX('Mug Marks'!$A$5:$A$204,MATCH(B883,'Mug Marks'!$B$5:$B$204,0)),"(not on Mug Marks)"))</f>
        <v/>
      </c>
      <c r="D883" s="6"/>
      <c r="E883" s="4"/>
      <c r="F883" s="4"/>
      <c r="G883" s="8" t="str">
        <f aca="false">IF(A883="","",A883+Settings!$B$6/24)</f>
        <v/>
      </c>
    </row>
    <row r="884" customFormat="false" ht="15" hidden="false" customHeight="false" outlineLevel="0" collapsed="false">
      <c r="A884" s="14"/>
      <c r="B884" s="5"/>
      <c r="C884" s="15" t="str">
        <f aca="false">IF(B884="","",IFERROR(INDEX('Mug Marks'!$A$5:$A$204,MATCH(B884,'Mug Marks'!$B$5:$B$204,0)),"(not on Mug Marks)"))</f>
        <v/>
      </c>
      <c r="D884" s="6"/>
      <c r="E884" s="4"/>
      <c r="F884" s="4"/>
      <c r="G884" s="8" t="str">
        <f aca="false">IF(A884="","",A884+Settings!$B$6/24)</f>
        <v/>
      </c>
    </row>
    <row r="885" customFormat="false" ht="15" hidden="false" customHeight="false" outlineLevel="0" collapsed="false">
      <c r="A885" s="14"/>
      <c r="B885" s="5"/>
      <c r="C885" s="15" t="str">
        <f aca="false">IF(B885="","",IFERROR(INDEX('Mug Marks'!$A$5:$A$204,MATCH(B885,'Mug Marks'!$B$5:$B$204,0)),"(not on Mug Marks)"))</f>
        <v/>
      </c>
      <c r="D885" s="6"/>
      <c r="E885" s="4"/>
      <c r="F885" s="4"/>
      <c r="G885" s="8" t="str">
        <f aca="false">IF(A885="","",A885+Settings!$B$6/24)</f>
        <v/>
      </c>
    </row>
    <row r="886" customFormat="false" ht="15" hidden="false" customHeight="false" outlineLevel="0" collapsed="false">
      <c r="A886" s="14"/>
      <c r="B886" s="5"/>
      <c r="C886" s="15" t="str">
        <f aca="false">IF(B886="","",IFERROR(INDEX('Mug Marks'!$A$5:$A$204,MATCH(B886,'Mug Marks'!$B$5:$B$204,0)),"(not on Mug Marks)"))</f>
        <v/>
      </c>
      <c r="D886" s="6"/>
      <c r="E886" s="4"/>
      <c r="F886" s="4"/>
      <c r="G886" s="8" t="str">
        <f aca="false">IF(A886="","",A886+Settings!$B$6/24)</f>
        <v/>
      </c>
    </row>
    <row r="887" customFormat="false" ht="15" hidden="false" customHeight="false" outlineLevel="0" collapsed="false">
      <c r="A887" s="14"/>
      <c r="B887" s="5"/>
      <c r="C887" s="15" t="str">
        <f aca="false">IF(B887="","",IFERROR(INDEX('Mug Marks'!$A$5:$A$204,MATCH(B887,'Mug Marks'!$B$5:$B$204,0)),"(not on Mug Marks)"))</f>
        <v/>
      </c>
      <c r="D887" s="6"/>
      <c r="E887" s="4"/>
      <c r="F887" s="4"/>
      <c r="G887" s="8" t="str">
        <f aca="false">IF(A887="","",A887+Settings!$B$6/24)</f>
        <v/>
      </c>
    </row>
    <row r="888" customFormat="false" ht="15" hidden="false" customHeight="false" outlineLevel="0" collapsed="false">
      <c r="A888" s="14"/>
      <c r="B888" s="5"/>
      <c r="C888" s="15" t="str">
        <f aca="false">IF(B888="","",IFERROR(INDEX('Mug Marks'!$A$5:$A$204,MATCH(B888,'Mug Marks'!$B$5:$B$204,0)),"(not on Mug Marks)"))</f>
        <v/>
      </c>
      <c r="D888" s="6"/>
      <c r="E888" s="4"/>
      <c r="F888" s="4"/>
      <c r="G888" s="8" t="str">
        <f aca="false">IF(A888="","",A888+Settings!$B$6/24)</f>
        <v/>
      </c>
    </row>
    <row r="889" customFormat="false" ht="15" hidden="false" customHeight="false" outlineLevel="0" collapsed="false">
      <c r="A889" s="14"/>
      <c r="B889" s="5"/>
      <c r="C889" s="15" t="str">
        <f aca="false">IF(B889="","",IFERROR(INDEX('Mug Marks'!$A$5:$A$204,MATCH(B889,'Mug Marks'!$B$5:$B$204,0)),"(not on Mug Marks)"))</f>
        <v/>
      </c>
      <c r="D889" s="6"/>
      <c r="E889" s="4"/>
      <c r="F889" s="4"/>
      <c r="G889" s="8" t="str">
        <f aca="false">IF(A889="","",A889+Settings!$B$6/24)</f>
        <v/>
      </c>
    </row>
    <row r="890" customFormat="false" ht="15" hidden="false" customHeight="false" outlineLevel="0" collapsed="false">
      <c r="A890" s="14"/>
      <c r="B890" s="5"/>
      <c r="C890" s="15" t="str">
        <f aca="false">IF(B890="","",IFERROR(INDEX('Mug Marks'!$A$5:$A$204,MATCH(B890,'Mug Marks'!$B$5:$B$204,0)),"(not on Mug Marks)"))</f>
        <v/>
      </c>
      <c r="D890" s="6"/>
      <c r="E890" s="4"/>
      <c r="F890" s="4"/>
      <c r="G890" s="8" t="str">
        <f aca="false">IF(A890="","",A890+Settings!$B$6/24)</f>
        <v/>
      </c>
    </row>
    <row r="891" customFormat="false" ht="15" hidden="false" customHeight="false" outlineLevel="0" collapsed="false">
      <c r="A891" s="14"/>
      <c r="B891" s="5"/>
      <c r="C891" s="15" t="str">
        <f aca="false">IF(B891="","",IFERROR(INDEX('Mug Marks'!$A$5:$A$204,MATCH(B891,'Mug Marks'!$B$5:$B$204,0)),"(not on Mug Marks)"))</f>
        <v/>
      </c>
      <c r="D891" s="6"/>
      <c r="E891" s="4"/>
      <c r="F891" s="4"/>
      <c r="G891" s="8" t="str">
        <f aca="false">IF(A891="","",A891+Settings!$B$6/24)</f>
        <v/>
      </c>
    </row>
    <row r="892" customFormat="false" ht="15" hidden="false" customHeight="false" outlineLevel="0" collapsed="false">
      <c r="A892" s="14"/>
      <c r="B892" s="5"/>
      <c r="C892" s="15" t="str">
        <f aca="false">IF(B892="","",IFERROR(INDEX('Mug Marks'!$A$5:$A$204,MATCH(B892,'Mug Marks'!$B$5:$B$204,0)),"(not on Mug Marks)"))</f>
        <v/>
      </c>
      <c r="D892" s="6"/>
      <c r="E892" s="4"/>
      <c r="F892" s="4"/>
      <c r="G892" s="8" t="str">
        <f aca="false">IF(A892="","",A892+Settings!$B$6/24)</f>
        <v/>
      </c>
    </row>
    <row r="893" customFormat="false" ht="15" hidden="false" customHeight="false" outlineLevel="0" collapsed="false">
      <c r="A893" s="14"/>
      <c r="B893" s="5"/>
      <c r="C893" s="15" t="str">
        <f aca="false">IF(B893="","",IFERROR(INDEX('Mug Marks'!$A$5:$A$204,MATCH(B893,'Mug Marks'!$B$5:$B$204,0)),"(not on Mug Marks)"))</f>
        <v/>
      </c>
      <c r="D893" s="6"/>
      <c r="E893" s="4"/>
      <c r="F893" s="4"/>
      <c r="G893" s="8" t="str">
        <f aca="false">IF(A893="","",A893+Settings!$B$6/24)</f>
        <v/>
      </c>
    </row>
    <row r="894" customFormat="false" ht="15" hidden="false" customHeight="false" outlineLevel="0" collapsed="false">
      <c r="A894" s="14"/>
      <c r="B894" s="5"/>
      <c r="C894" s="15" t="str">
        <f aca="false">IF(B894="","",IFERROR(INDEX('Mug Marks'!$A$5:$A$204,MATCH(B894,'Mug Marks'!$B$5:$B$204,0)),"(not on Mug Marks)"))</f>
        <v/>
      </c>
      <c r="D894" s="6"/>
      <c r="E894" s="4"/>
      <c r="F894" s="4"/>
      <c r="G894" s="8" t="str">
        <f aca="false">IF(A894="","",A894+Settings!$B$6/24)</f>
        <v/>
      </c>
    </row>
    <row r="895" customFormat="false" ht="15" hidden="false" customHeight="false" outlineLevel="0" collapsed="false">
      <c r="A895" s="14"/>
      <c r="B895" s="5"/>
      <c r="C895" s="15" t="str">
        <f aca="false">IF(B895="","",IFERROR(INDEX('Mug Marks'!$A$5:$A$204,MATCH(B895,'Mug Marks'!$B$5:$B$204,0)),"(not on Mug Marks)"))</f>
        <v/>
      </c>
      <c r="D895" s="6"/>
      <c r="E895" s="4"/>
      <c r="F895" s="4"/>
      <c r="G895" s="8" t="str">
        <f aca="false">IF(A895="","",A895+Settings!$B$6/24)</f>
        <v/>
      </c>
    </row>
    <row r="896" customFormat="false" ht="15" hidden="false" customHeight="false" outlineLevel="0" collapsed="false">
      <c r="A896" s="14"/>
      <c r="B896" s="5"/>
      <c r="C896" s="15" t="str">
        <f aca="false">IF(B896="","",IFERROR(INDEX('Mug Marks'!$A$5:$A$204,MATCH(B896,'Mug Marks'!$B$5:$B$204,0)),"(not on Mug Marks)"))</f>
        <v/>
      </c>
      <c r="D896" s="6"/>
      <c r="E896" s="4"/>
      <c r="F896" s="4"/>
      <c r="G896" s="8" t="str">
        <f aca="false">IF(A896="","",A896+Settings!$B$6/24)</f>
        <v/>
      </c>
    </row>
    <row r="897" customFormat="false" ht="15" hidden="false" customHeight="false" outlineLevel="0" collapsed="false">
      <c r="A897" s="14"/>
      <c r="B897" s="5"/>
      <c r="C897" s="15" t="str">
        <f aca="false">IF(B897="","",IFERROR(INDEX('Mug Marks'!$A$5:$A$204,MATCH(B897,'Mug Marks'!$B$5:$B$204,0)),"(not on Mug Marks)"))</f>
        <v/>
      </c>
      <c r="D897" s="6"/>
      <c r="E897" s="4"/>
      <c r="F897" s="4"/>
      <c r="G897" s="8" t="str">
        <f aca="false">IF(A897="","",A897+Settings!$B$6/24)</f>
        <v/>
      </c>
    </row>
    <row r="898" customFormat="false" ht="15" hidden="false" customHeight="false" outlineLevel="0" collapsed="false">
      <c r="A898" s="14"/>
      <c r="B898" s="5"/>
      <c r="C898" s="15" t="str">
        <f aca="false">IF(B898="","",IFERROR(INDEX('Mug Marks'!$A$5:$A$204,MATCH(B898,'Mug Marks'!$B$5:$B$204,0)),"(not on Mug Marks)"))</f>
        <v/>
      </c>
      <c r="D898" s="6"/>
      <c r="E898" s="4"/>
      <c r="F898" s="4"/>
      <c r="G898" s="8" t="str">
        <f aca="false">IF(A898="","",A898+Settings!$B$6/24)</f>
        <v/>
      </c>
    </row>
    <row r="899" customFormat="false" ht="15" hidden="false" customHeight="false" outlineLevel="0" collapsed="false">
      <c r="A899" s="14"/>
      <c r="B899" s="5"/>
      <c r="C899" s="15" t="str">
        <f aca="false">IF(B899="","",IFERROR(INDEX('Mug Marks'!$A$5:$A$204,MATCH(B899,'Mug Marks'!$B$5:$B$204,0)),"(not on Mug Marks)"))</f>
        <v/>
      </c>
      <c r="D899" s="6"/>
      <c r="E899" s="4"/>
      <c r="F899" s="4"/>
      <c r="G899" s="8" t="str">
        <f aca="false">IF(A899="","",A899+Settings!$B$6/24)</f>
        <v/>
      </c>
    </row>
    <row r="900" customFormat="false" ht="15" hidden="false" customHeight="false" outlineLevel="0" collapsed="false">
      <c r="A900" s="14"/>
      <c r="B900" s="5"/>
      <c r="C900" s="15" t="str">
        <f aca="false">IF(B900="","",IFERROR(INDEX('Mug Marks'!$A$5:$A$204,MATCH(B900,'Mug Marks'!$B$5:$B$204,0)),"(not on Mug Marks)"))</f>
        <v/>
      </c>
      <c r="D900" s="6"/>
      <c r="E900" s="4"/>
      <c r="F900" s="4"/>
      <c r="G900" s="8" t="str">
        <f aca="false">IF(A900="","",A900+Settings!$B$6/24)</f>
        <v/>
      </c>
    </row>
    <row r="901" customFormat="false" ht="15" hidden="false" customHeight="false" outlineLevel="0" collapsed="false">
      <c r="A901" s="14"/>
      <c r="B901" s="5"/>
      <c r="C901" s="15" t="str">
        <f aca="false">IF(B901="","",IFERROR(INDEX('Mug Marks'!$A$5:$A$204,MATCH(B901,'Mug Marks'!$B$5:$B$204,0)),"(not on Mug Marks)"))</f>
        <v/>
      </c>
      <c r="D901" s="6"/>
      <c r="E901" s="4"/>
      <c r="F901" s="4"/>
      <c r="G901" s="8" t="str">
        <f aca="false">IF(A901="","",A901+Settings!$B$6/24)</f>
        <v/>
      </c>
    </row>
    <row r="902" customFormat="false" ht="15" hidden="false" customHeight="false" outlineLevel="0" collapsed="false">
      <c r="A902" s="14"/>
      <c r="B902" s="5"/>
      <c r="C902" s="15" t="str">
        <f aca="false">IF(B902="","",IFERROR(INDEX('Mug Marks'!$A$5:$A$204,MATCH(B902,'Mug Marks'!$B$5:$B$204,0)),"(not on Mug Marks)"))</f>
        <v/>
      </c>
      <c r="D902" s="6"/>
      <c r="E902" s="4"/>
      <c r="F902" s="4"/>
      <c r="G902" s="8" t="str">
        <f aca="false">IF(A902="","",A902+Settings!$B$6/24)</f>
        <v/>
      </c>
    </row>
    <row r="903" customFormat="false" ht="15" hidden="false" customHeight="false" outlineLevel="0" collapsed="false">
      <c r="A903" s="14"/>
      <c r="B903" s="5"/>
      <c r="C903" s="15" t="str">
        <f aca="false">IF(B903="","",IFERROR(INDEX('Mug Marks'!$A$5:$A$204,MATCH(B903,'Mug Marks'!$B$5:$B$204,0)),"(not on Mug Marks)"))</f>
        <v/>
      </c>
      <c r="D903" s="6"/>
      <c r="E903" s="4"/>
      <c r="F903" s="4"/>
      <c r="G903" s="8" t="str">
        <f aca="false">IF(A903="","",A903+Settings!$B$6/24)</f>
        <v/>
      </c>
    </row>
    <row r="904" customFormat="false" ht="15" hidden="false" customHeight="false" outlineLevel="0" collapsed="false">
      <c r="A904" s="14"/>
      <c r="B904" s="5"/>
      <c r="C904" s="15" t="str">
        <f aca="false">IF(B904="","",IFERROR(INDEX('Mug Marks'!$A$5:$A$204,MATCH(B904,'Mug Marks'!$B$5:$B$204,0)),"(not on Mug Marks)"))</f>
        <v/>
      </c>
      <c r="D904" s="6"/>
      <c r="E904" s="4"/>
      <c r="F904" s="4"/>
      <c r="G904" s="8" t="str">
        <f aca="false">IF(A904="","",A904+Settings!$B$6/24)</f>
        <v/>
      </c>
    </row>
    <row r="905" customFormat="false" ht="15" hidden="false" customHeight="false" outlineLevel="0" collapsed="false">
      <c r="A905" s="14"/>
      <c r="B905" s="5"/>
      <c r="C905" s="15" t="str">
        <f aca="false">IF(B905="","",IFERROR(INDEX('Mug Marks'!$A$5:$A$204,MATCH(B905,'Mug Marks'!$B$5:$B$204,0)),"(not on Mug Marks)"))</f>
        <v/>
      </c>
      <c r="D905" s="6"/>
      <c r="E905" s="4"/>
      <c r="F905" s="4"/>
      <c r="G905" s="8" t="str">
        <f aca="false">IF(A905="","",A905+Settings!$B$6/24)</f>
        <v/>
      </c>
    </row>
    <row r="906" customFormat="false" ht="15" hidden="false" customHeight="false" outlineLevel="0" collapsed="false">
      <c r="A906" s="14"/>
      <c r="B906" s="5"/>
      <c r="C906" s="15" t="str">
        <f aca="false">IF(B906="","",IFERROR(INDEX('Mug Marks'!$A$5:$A$204,MATCH(B906,'Mug Marks'!$B$5:$B$204,0)),"(not on Mug Marks)"))</f>
        <v/>
      </c>
      <c r="D906" s="6"/>
      <c r="E906" s="4"/>
      <c r="F906" s="4"/>
      <c r="G906" s="8" t="str">
        <f aca="false">IF(A906="","",A906+Settings!$B$6/24)</f>
        <v/>
      </c>
    </row>
    <row r="907" customFormat="false" ht="15" hidden="false" customHeight="false" outlineLevel="0" collapsed="false">
      <c r="A907" s="14"/>
      <c r="B907" s="5"/>
      <c r="C907" s="15" t="str">
        <f aca="false">IF(B907="","",IFERROR(INDEX('Mug Marks'!$A$5:$A$204,MATCH(B907,'Mug Marks'!$B$5:$B$204,0)),"(not on Mug Marks)"))</f>
        <v/>
      </c>
      <c r="D907" s="6"/>
      <c r="E907" s="4"/>
      <c r="F907" s="4"/>
      <c r="G907" s="8" t="str">
        <f aca="false">IF(A907="","",A907+Settings!$B$6/24)</f>
        <v/>
      </c>
    </row>
    <row r="908" customFormat="false" ht="15" hidden="false" customHeight="false" outlineLevel="0" collapsed="false">
      <c r="A908" s="14"/>
      <c r="B908" s="5"/>
      <c r="C908" s="15" t="str">
        <f aca="false">IF(B908="","",IFERROR(INDEX('Mug Marks'!$A$5:$A$204,MATCH(B908,'Mug Marks'!$B$5:$B$204,0)),"(not on Mug Marks)"))</f>
        <v/>
      </c>
      <c r="D908" s="6"/>
      <c r="E908" s="4"/>
      <c r="F908" s="4"/>
      <c r="G908" s="8" t="str">
        <f aca="false">IF(A908="","",A908+Settings!$B$6/24)</f>
        <v/>
      </c>
    </row>
    <row r="909" customFormat="false" ht="15" hidden="false" customHeight="false" outlineLevel="0" collapsed="false">
      <c r="A909" s="14"/>
      <c r="B909" s="5"/>
      <c r="C909" s="15" t="str">
        <f aca="false">IF(B909="","",IFERROR(INDEX('Mug Marks'!$A$5:$A$204,MATCH(B909,'Mug Marks'!$B$5:$B$204,0)),"(not on Mug Marks)"))</f>
        <v/>
      </c>
      <c r="D909" s="6"/>
      <c r="E909" s="4"/>
      <c r="F909" s="4"/>
      <c r="G909" s="8" t="str">
        <f aca="false">IF(A909="","",A909+Settings!$B$6/24)</f>
        <v/>
      </c>
    </row>
    <row r="910" customFormat="false" ht="15" hidden="false" customHeight="false" outlineLevel="0" collapsed="false">
      <c r="A910" s="14"/>
      <c r="B910" s="5"/>
      <c r="C910" s="15" t="str">
        <f aca="false">IF(B910="","",IFERROR(INDEX('Mug Marks'!$A$5:$A$204,MATCH(B910,'Mug Marks'!$B$5:$B$204,0)),"(not on Mug Marks)"))</f>
        <v/>
      </c>
      <c r="D910" s="6"/>
      <c r="E910" s="4"/>
      <c r="F910" s="4"/>
      <c r="G910" s="8" t="str">
        <f aca="false">IF(A910="","",A910+Settings!$B$6/24)</f>
        <v/>
      </c>
    </row>
    <row r="911" customFormat="false" ht="15" hidden="false" customHeight="false" outlineLevel="0" collapsed="false">
      <c r="A911" s="14"/>
      <c r="B911" s="5"/>
      <c r="C911" s="15" t="str">
        <f aca="false">IF(B911="","",IFERROR(INDEX('Mug Marks'!$A$5:$A$204,MATCH(B911,'Mug Marks'!$B$5:$B$204,0)),"(not on Mug Marks)"))</f>
        <v/>
      </c>
      <c r="D911" s="6"/>
      <c r="E911" s="4"/>
      <c r="F911" s="4"/>
      <c r="G911" s="8" t="str">
        <f aca="false">IF(A911="","",A911+Settings!$B$6/24)</f>
        <v/>
      </c>
    </row>
    <row r="912" customFormat="false" ht="15" hidden="false" customHeight="false" outlineLevel="0" collapsed="false">
      <c r="A912" s="14"/>
      <c r="B912" s="5"/>
      <c r="C912" s="15" t="str">
        <f aca="false">IF(B912="","",IFERROR(INDEX('Mug Marks'!$A$5:$A$204,MATCH(B912,'Mug Marks'!$B$5:$B$204,0)),"(not on Mug Marks)"))</f>
        <v/>
      </c>
      <c r="D912" s="6"/>
      <c r="E912" s="4"/>
      <c r="F912" s="4"/>
      <c r="G912" s="8" t="str">
        <f aca="false">IF(A912="","",A912+Settings!$B$6/24)</f>
        <v/>
      </c>
    </row>
    <row r="913" customFormat="false" ht="15" hidden="false" customHeight="false" outlineLevel="0" collapsed="false">
      <c r="A913" s="14"/>
      <c r="B913" s="5"/>
      <c r="C913" s="15" t="str">
        <f aca="false">IF(B913="","",IFERROR(INDEX('Mug Marks'!$A$5:$A$204,MATCH(B913,'Mug Marks'!$B$5:$B$204,0)),"(not on Mug Marks)"))</f>
        <v/>
      </c>
      <c r="D913" s="6"/>
      <c r="E913" s="4"/>
      <c r="F913" s="4"/>
      <c r="G913" s="8" t="str">
        <f aca="false">IF(A913="","",A913+Settings!$B$6/24)</f>
        <v/>
      </c>
    </row>
    <row r="914" customFormat="false" ht="15" hidden="false" customHeight="false" outlineLevel="0" collapsed="false">
      <c r="A914" s="14"/>
      <c r="B914" s="5"/>
      <c r="C914" s="15" t="str">
        <f aca="false">IF(B914="","",IFERROR(INDEX('Mug Marks'!$A$5:$A$204,MATCH(B914,'Mug Marks'!$B$5:$B$204,0)),"(not on Mug Marks)"))</f>
        <v/>
      </c>
      <c r="D914" s="6"/>
      <c r="E914" s="4"/>
      <c r="F914" s="4"/>
      <c r="G914" s="8" t="str">
        <f aca="false">IF(A914="","",A914+Settings!$B$6/24)</f>
        <v/>
      </c>
    </row>
    <row r="915" customFormat="false" ht="15" hidden="false" customHeight="false" outlineLevel="0" collapsed="false">
      <c r="A915" s="14"/>
      <c r="B915" s="5"/>
      <c r="C915" s="15" t="str">
        <f aca="false">IF(B915="","",IFERROR(INDEX('Mug Marks'!$A$5:$A$204,MATCH(B915,'Mug Marks'!$B$5:$B$204,0)),"(not on Mug Marks)"))</f>
        <v/>
      </c>
      <c r="D915" s="6"/>
      <c r="E915" s="4"/>
      <c r="F915" s="4"/>
      <c r="G915" s="8" t="str">
        <f aca="false">IF(A915="","",A915+Settings!$B$6/24)</f>
        <v/>
      </c>
    </row>
    <row r="916" customFormat="false" ht="15" hidden="false" customHeight="false" outlineLevel="0" collapsed="false">
      <c r="A916" s="14"/>
      <c r="B916" s="5"/>
      <c r="C916" s="15" t="str">
        <f aca="false">IF(B916="","",IFERROR(INDEX('Mug Marks'!$A$5:$A$204,MATCH(B916,'Mug Marks'!$B$5:$B$204,0)),"(not on Mug Marks)"))</f>
        <v/>
      </c>
      <c r="D916" s="6"/>
      <c r="E916" s="4"/>
      <c r="F916" s="4"/>
      <c r="G916" s="8" t="str">
        <f aca="false">IF(A916="","",A916+Settings!$B$6/24)</f>
        <v/>
      </c>
    </row>
    <row r="917" customFormat="false" ht="15" hidden="false" customHeight="false" outlineLevel="0" collapsed="false">
      <c r="A917" s="14"/>
      <c r="B917" s="5"/>
      <c r="C917" s="15" t="str">
        <f aca="false">IF(B917="","",IFERROR(INDEX('Mug Marks'!$A$5:$A$204,MATCH(B917,'Mug Marks'!$B$5:$B$204,0)),"(not on Mug Marks)"))</f>
        <v/>
      </c>
      <c r="D917" s="6"/>
      <c r="E917" s="4"/>
      <c r="F917" s="4"/>
      <c r="G917" s="8" t="str">
        <f aca="false">IF(A917="","",A917+Settings!$B$6/24)</f>
        <v/>
      </c>
    </row>
    <row r="918" customFormat="false" ht="15" hidden="false" customHeight="false" outlineLevel="0" collapsed="false">
      <c r="A918" s="14"/>
      <c r="B918" s="5"/>
      <c r="C918" s="15" t="str">
        <f aca="false">IF(B918="","",IFERROR(INDEX('Mug Marks'!$A$5:$A$204,MATCH(B918,'Mug Marks'!$B$5:$B$204,0)),"(not on Mug Marks)"))</f>
        <v/>
      </c>
      <c r="D918" s="6"/>
      <c r="E918" s="4"/>
      <c r="F918" s="4"/>
      <c r="G918" s="8" t="str">
        <f aca="false">IF(A918="","",A918+Settings!$B$6/24)</f>
        <v/>
      </c>
    </row>
    <row r="919" customFormat="false" ht="15" hidden="false" customHeight="false" outlineLevel="0" collapsed="false">
      <c r="A919" s="14"/>
      <c r="B919" s="5"/>
      <c r="C919" s="15" t="str">
        <f aca="false">IF(B919="","",IFERROR(INDEX('Mug Marks'!$A$5:$A$204,MATCH(B919,'Mug Marks'!$B$5:$B$204,0)),"(not on Mug Marks)"))</f>
        <v/>
      </c>
      <c r="D919" s="6"/>
      <c r="E919" s="4"/>
      <c r="F919" s="4"/>
      <c r="G919" s="8" t="str">
        <f aca="false">IF(A919="","",A919+Settings!$B$6/24)</f>
        <v/>
      </c>
    </row>
    <row r="920" customFormat="false" ht="15" hidden="false" customHeight="false" outlineLevel="0" collapsed="false">
      <c r="A920" s="14"/>
      <c r="B920" s="5"/>
      <c r="C920" s="15" t="str">
        <f aca="false">IF(B920="","",IFERROR(INDEX('Mug Marks'!$A$5:$A$204,MATCH(B920,'Mug Marks'!$B$5:$B$204,0)),"(not on Mug Marks)"))</f>
        <v/>
      </c>
      <c r="D920" s="6"/>
      <c r="E920" s="4"/>
      <c r="F920" s="4"/>
      <c r="G920" s="8" t="str">
        <f aca="false">IF(A920="","",A920+Settings!$B$6/24)</f>
        <v/>
      </c>
    </row>
    <row r="921" customFormat="false" ht="15" hidden="false" customHeight="false" outlineLevel="0" collapsed="false">
      <c r="A921" s="14"/>
      <c r="B921" s="5"/>
      <c r="C921" s="15" t="str">
        <f aca="false">IF(B921="","",IFERROR(INDEX('Mug Marks'!$A$5:$A$204,MATCH(B921,'Mug Marks'!$B$5:$B$204,0)),"(not on Mug Marks)"))</f>
        <v/>
      </c>
      <c r="D921" s="6"/>
      <c r="E921" s="4"/>
      <c r="F921" s="4"/>
      <c r="G921" s="8" t="str">
        <f aca="false">IF(A921="","",A921+Settings!$B$6/24)</f>
        <v/>
      </c>
    </row>
    <row r="922" customFormat="false" ht="15" hidden="false" customHeight="false" outlineLevel="0" collapsed="false">
      <c r="A922" s="14"/>
      <c r="B922" s="5"/>
      <c r="C922" s="15" t="str">
        <f aca="false">IF(B922="","",IFERROR(INDEX('Mug Marks'!$A$5:$A$204,MATCH(B922,'Mug Marks'!$B$5:$B$204,0)),"(not on Mug Marks)"))</f>
        <v/>
      </c>
      <c r="D922" s="6"/>
      <c r="E922" s="4"/>
      <c r="F922" s="4"/>
      <c r="G922" s="8" t="str">
        <f aca="false">IF(A922="","",A922+Settings!$B$6/24)</f>
        <v/>
      </c>
    </row>
    <row r="923" customFormat="false" ht="15" hidden="false" customHeight="false" outlineLevel="0" collapsed="false">
      <c r="A923" s="14"/>
      <c r="B923" s="5"/>
      <c r="C923" s="15" t="str">
        <f aca="false">IF(B923="","",IFERROR(INDEX('Mug Marks'!$A$5:$A$204,MATCH(B923,'Mug Marks'!$B$5:$B$204,0)),"(not on Mug Marks)"))</f>
        <v/>
      </c>
      <c r="D923" s="6"/>
      <c r="E923" s="4"/>
      <c r="F923" s="4"/>
      <c r="G923" s="8" t="str">
        <f aca="false">IF(A923="","",A923+Settings!$B$6/24)</f>
        <v/>
      </c>
    </row>
    <row r="924" customFormat="false" ht="15" hidden="false" customHeight="false" outlineLevel="0" collapsed="false">
      <c r="A924" s="14"/>
      <c r="B924" s="5"/>
      <c r="C924" s="15" t="str">
        <f aca="false">IF(B924="","",IFERROR(INDEX('Mug Marks'!$A$5:$A$204,MATCH(B924,'Mug Marks'!$B$5:$B$204,0)),"(not on Mug Marks)"))</f>
        <v/>
      </c>
      <c r="D924" s="6"/>
      <c r="E924" s="4"/>
      <c r="F924" s="4"/>
      <c r="G924" s="8" t="str">
        <f aca="false">IF(A924="","",A924+Settings!$B$6/24)</f>
        <v/>
      </c>
    </row>
    <row r="925" customFormat="false" ht="15" hidden="false" customHeight="false" outlineLevel="0" collapsed="false">
      <c r="A925" s="14"/>
      <c r="B925" s="5"/>
      <c r="C925" s="15" t="str">
        <f aca="false">IF(B925="","",IFERROR(INDEX('Mug Marks'!$A$5:$A$204,MATCH(B925,'Mug Marks'!$B$5:$B$204,0)),"(not on Mug Marks)"))</f>
        <v/>
      </c>
      <c r="D925" s="6"/>
      <c r="E925" s="4"/>
      <c r="F925" s="4"/>
      <c r="G925" s="8" t="str">
        <f aca="false">IF(A925="","",A925+Settings!$B$6/24)</f>
        <v/>
      </c>
    </row>
    <row r="926" customFormat="false" ht="15" hidden="false" customHeight="false" outlineLevel="0" collapsed="false">
      <c r="A926" s="14"/>
      <c r="B926" s="5"/>
      <c r="C926" s="15" t="str">
        <f aca="false">IF(B926="","",IFERROR(INDEX('Mug Marks'!$A$5:$A$204,MATCH(B926,'Mug Marks'!$B$5:$B$204,0)),"(not on Mug Marks)"))</f>
        <v/>
      </c>
      <c r="D926" s="6"/>
      <c r="E926" s="4"/>
      <c r="F926" s="4"/>
      <c r="G926" s="8" t="str">
        <f aca="false">IF(A926="","",A926+Settings!$B$6/24)</f>
        <v/>
      </c>
    </row>
    <row r="927" customFormat="false" ht="15" hidden="false" customHeight="false" outlineLevel="0" collapsed="false">
      <c r="A927" s="14"/>
      <c r="B927" s="5"/>
      <c r="C927" s="15" t="str">
        <f aca="false">IF(B927="","",IFERROR(INDEX('Mug Marks'!$A$5:$A$204,MATCH(B927,'Mug Marks'!$B$5:$B$204,0)),"(not on Mug Marks)"))</f>
        <v/>
      </c>
      <c r="D927" s="6"/>
      <c r="E927" s="4"/>
      <c r="F927" s="4"/>
      <c r="G927" s="8" t="str">
        <f aca="false">IF(A927="","",A927+Settings!$B$6/24)</f>
        <v/>
      </c>
    </row>
    <row r="928" customFormat="false" ht="15" hidden="false" customHeight="false" outlineLevel="0" collapsed="false">
      <c r="A928" s="14"/>
      <c r="B928" s="5"/>
      <c r="C928" s="15" t="str">
        <f aca="false">IF(B928="","",IFERROR(INDEX('Mug Marks'!$A$5:$A$204,MATCH(B928,'Mug Marks'!$B$5:$B$204,0)),"(not on Mug Marks)"))</f>
        <v/>
      </c>
      <c r="D928" s="6"/>
      <c r="E928" s="4"/>
      <c r="F928" s="4"/>
      <c r="G928" s="8" t="str">
        <f aca="false">IF(A928="","",A928+Settings!$B$6/24)</f>
        <v/>
      </c>
    </row>
    <row r="929" customFormat="false" ht="15" hidden="false" customHeight="false" outlineLevel="0" collapsed="false">
      <c r="A929" s="14"/>
      <c r="B929" s="5"/>
      <c r="C929" s="15" t="str">
        <f aca="false">IF(B929="","",IFERROR(INDEX('Mug Marks'!$A$5:$A$204,MATCH(B929,'Mug Marks'!$B$5:$B$204,0)),"(not on Mug Marks)"))</f>
        <v/>
      </c>
      <c r="D929" s="6"/>
      <c r="E929" s="4"/>
      <c r="F929" s="4"/>
      <c r="G929" s="8" t="str">
        <f aca="false">IF(A929="","",A929+Settings!$B$6/24)</f>
        <v/>
      </c>
    </row>
    <row r="930" customFormat="false" ht="15" hidden="false" customHeight="false" outlineLevel="0" collapsed="false">
      <c r="A930" s="14"/>
      <c r="B930" s="5"/>
      <c r="C930" s="15" t="str">
        <f aca="false">IF(B930="","",IFERROR(INDEX('Mug Marks'!$A$5:$A$204,MATCH(B930,'Mug Marks'!$B$5:$B$204,0)),"(not on Mug Marks)"))</f>
        <v/>
      </c>
      <c r="D930" s="6"/>
      <c r="E930" s="4"/>
      <c r="F930" s="4"/>
      <c r="G930" s="8" t="str">
        <f aca="false">IF(A930="","",A930+Settings!$B$6/24)</f>
        <v/>
      </c>
    </row>
    <row r="931" customFormat="false" ht="15" hidden="false" customHeight="false" outlineLevel="0" collapsed="false">
      <c r="A931" s="14"/>
      <c r="B931" s="5"/>
      <c r="C931" s="15" t="str">
        <f aca="false">IF(B931="","",IFERROR(INDEX('Mug Marks'!$A$5:$A$204,MATCH(B931,'Mug Marks'!$B$5:$B$204,0)),"(not on Mug Marks)"))</f>
        <v/>
      </c>
      <c r="D931" s="6"/>
      <c r="E931" s="4"/>
      <c r="F931" s="4"/>
      <c r="G931" s="8" t="str">
        <f aca="false">IF(A931="","",A931+Settings!$B$6/24)</f>
        <v/>
      </c>
    </row>
    <row r="932" customFormat="false" ht="15" hidden="false" customHeight="false" outlineLevel="0" collapsed="false">
      <c r="A932" s="14"/>
      <c r="B932" s="5"/>
      <c r="C932" s="15" t="str">
        <f aca="false">IF(B932="","",IFERROR(INDEX('Mug Marks'!$A$5:$A$204,MATCH(B932,'Mug Marks'!$B$5:$B$204,0)),"(not on Mug Marks)"))</f>
        <v/>
      </c>
      <c r="D932" s="6"/>
      <c r="E932" s="4"/>
      <c r="F932" s="4"/>
      <c r="G932" s="8" t="str">
        <f aca="false">IF(A932="","",A932+Settings!$B$6/24)</f>
        <v/>
      </c>
    </row>
    <row r="933" customFormat="false" ht="15" hidden="false" customHeight="false" outlineLevel="0" collapsed="false">
      <c r="A933" s="14"/>
      <c r="B933" s="5"/>
      <c r="C933" s="15" t="str">
        <f aca="false">IF(B933="","",IFERROR(INDEX('Mug Marks'!$A$5:$A$204,MATCH(B933,'Mug Marks'!$B$5:$B$204,0)),"(not on Mug Marks)"))</f>
        <v/>
      </c>
      <c r="D933" s="6"/>
      <c r="E933" s="4"/>
      <c r="F933" s="4"/>
      <c r="G933" s="8" t="str">
        <f aca="false">IF(A933="","",A933+Settings!$B$6/24)</f>
        <v/>
      </c>
    </row>
    <row r="934" customFormat="false" ht="15" hidden="false" customHeight="false" outlineLevel="0" collapsed="false">
      <c r="A934" s="14"/>
      <c r="B934" s="5"/>
      <c r="C934" s="15" t="str">
        <f aca="false">IF(B934="","",IFERROR(INDEX('Mug Marks'!$A$5:$A$204,MATCH(B934,'Mug Marks'!$B$5:$B$204,0)),"(not on Mug Marks)"))</f>
        <v/>
      </c>
      <c r="D934" s="6"/>
      <c r="E934" s="4"/>
      <c r="F934" s="4"/>
      <c r="G934" s="8" t="str">
        <f aca="false">IF(A934="","",A934+Settings!$B$6/24)</f>
        <v/>
      </c>
    </row>
    <row r="935" customFormat="false" ht="15" hidden="false" customHeight="false" outlineLevel="0" collapsed="false">
      <c r="A935" s="14"/>
      <c r="B935" s="5"/>
      <c r="C935" s="15" t="str">
        <f aca="false">IF(B935="","",IFERROR(INDEX('Mug Marks'!$A$5:$A$204,MATCH(B935,'Mug Marks'!$B$5:$B$204,0)),"(not on Mug Marks)"))</f>
        <v/>
      </c>
      <c r="D935" s="6"/>
      <c r="E935" s="4"/>
      <c r="F935" s="4"/>
      <c r="G935" s="8" t="str">
        <f aca="false">IF(A935="","",A935+Settings!$B$6/24)</f>
        <v/>
      </c>
    </row>
    <row r="936" customFormat="false" ht="15" hidden="false" customHeight="false" outlineLevel="0" collapsed="false">
      <c r="A936" s="14"/>
      <c r="B936" s="5"/>
      <c r="C936" s="15" t="str">
        <f aca="false">IF(B936="","",IFERROR(INDEX('Mug Marks'!$A$5:$A$204,MATCH(B936,'Mug Marks'!$B$5:$B$204,0)),"(not on Mug Marks)"))</f>
        <v/>
      </c>
      <c r="D936" s="6"/>
      <c r="E936" s="4"/>
      <c r="F936" s="4"/>
      <c r="G936" s="8" t="str">
        <f aca="false">IF(A936="","",A936+Settings!$B$6/24)</f>
        <v/>
      </c>
    </row>
    <row r="937" customFormat="false" ht="15" hidden="false" customHeight="false" outlineLevel="0" collapsed="false">
      <c r="A937" s="14"/>
      <c r="B937" s="5"/>
      <c r="C937" s="15" t="str">
        <f aca="false">IF(B937="","",IFERROR(INDEX('Mug Marks'!$A$5:$A$204,MATCH(B937,'Mug Marks'!$B$5:$B$204,0)),"(not on Mug Marks)"))</f>
        <v/>
      </c>
      <c r="D937" s="6"/>
      <c r="E937" s="4"/>
      <c r="F937" s="4"/>
      <c r="G937" s="8" t="str">
        <f aca="false">IF(A937="","",A937+Settings!$B$6/24)</f>
        <v/>
      </c>
    </row>
    <row r="938" customFormat="false" ht="15" hidden="false" customHeight="false" outlineLevel="0" collapsed="false">
      <c r="A938" s="14"/>
      <c r="B938" s="5"/>
      <c r="C938" s="15" t="str">
        <f aca="false">IF(B938="","",IFERROR(INDEX('Mug Marks'!$A$5:$A$204,MATCH(B938,'Mug Marks'!$B$5:$B$204,0)),"(not on Mug Marks)"))</f>
        <v/>
      </c>
      <c r="D938" s="6"/>
      <c r="E938" s="4"/>
      <c r="F938" s="4"/>
      <c r="G938" s="8" t="str">
        <f aca="false">IF(A938="","",A938+Settings!$B$6/24)</f>
        <v/>
      </c>
    </row>
    <row r="939" customFormat="false" ht="15" hidden="false" customHeight="false" outlineLevel="0" collapsed="false">
      <c r="A939" s="14"/>
      <c r="B939" s="5"/>
      <c r="C939" s="15" t="str">
        <f aca="false">IF(B939="","",IFERROR(INDEX('Mug Marks'!$A$5:$A$204,MATCH(B939,'Mug Marks'!$B$5:$B$204,0)),"(not on Mug Marks)"))</f>
        <v/>
      </c>
      <c r="D939" s="6"/>
      <c r="E939" s="4"/>
      <c r="F939" s="4"/>
      <c r="G939" s="8" t="str">
        <f aca="false">IF(A939="","",A939+Settings!$B$6/24)</f>
        <v/>
      </c>
    </row>
    <row r="940" customFormat="false" ht="15" hidden="false" customHeight="false" outlineLevel="0" collapsed="false">
      <c r="A940" s="14"/>
      <c r="B940" s="5"/>
      <c r="C940" s="15" t="str">
        <f aca="false">IF(B940="","",IFERROR(INDEX('Mug Marks'!$A$5:$A$204,MATCH(B940,'Mug Marks'!$B$5:$B$204,0)),"(not on Mug Marks)"))</f>
        <v/>
      </c>
      <c r="D940" s="6"/>
      <c r="E940" s="4"/>
      <c r="F940" s="4"/>
      <c r="G940" s="8" t="str">
        <f aca="false">IF(A940="","",A940+Settings!$B$6/24)</f>
        <v/>
      </c>
    </row>
    <row r="941" customFormat="false" ht="15" hidden="false" customHeight="false" outlineLevel="0" collapsed="false">
      <c r="A941" s="14"/>
      <c r="B941" s="5"/>
      <c r="C941" s="15" t="str">
        <f aca="false">IF(B941="","",IFERROR(INDEX('Mug Marks'!$A$5:$A$204,MATCH(B941,'Mug Marks'!$B$5:$B$204,0)),"(not on Mug Marks)"))</f>
        <v/>
      </c>
      <c r="D941" s="6"/>
      <c r="E941" s="4"/>
      <c r="F941" s="4"/>
      <c r="G941" s="8" t="str">
        <f aca="false">IF(A941="","",A941+Settings!$B$6/24)</f>
        <v/>
      </c>
    </row>
    <row r="942" customFormat="false" ht="15" hidden="false" customHeight="false" outlineLevel="0" collapsed="false">
      <c r="A942" s="14"/>
      <c r="B942" s="5"/>
      <c r="C942" s="15" t="str">
        <f aca="false">IF(B942="","",IFERROR(INDEX('Mug Marks'!$A$5:$A$204,MATCH(B942,'Mug Marks'!$B$5:$B$204,0)),"(not on Mug Marks)"))</f>
        <v/>
      </c>
      <c r="D942" s="6"/>
      <c r="E942" s="4"/>
      <c r="F942" s="4"/>
      <c r="G942" s="8" t="str">
        <f aca="false">IF(A942="","",A942+Settings!$B$6/24)</f>
        <v/>
      </c>
    </row>
    <row r="943" customFormat="false" ht="15" hidden="false" customHeight="false" outlineLevel="0" collapsed="false">
      <c r="A943" s="14"/>
      <c r="B943" s="5"/>
      <c r="C943" s="15" t="str">
        <f aca="false">IF(B943="","",IFERROR(INDEX('Mug Marks'!$A$5:$A$204,MATCH(B943,'Mug Marks'!$B$5:$B$204,0)),"(not on Mug Marks)"))</f>
        <v/>
      </c>
      <c r="D943" s="6"/>
      <c r="E943" s="4"/>
      <c r="F943" s="4"/>
      <c r="G943" s="8" t="str">
        <f aca="false">IF(A943="","",A943+Settings!$B$6/24)</f>
        <v/>
      </c>
    </row>
    <row r="944" customFormat="false" ht="15" hidden="false" customHeight="false" outlineLevel="0" collapsed="false">
      <c r="A944" s="14"/>
      <c r="B944" s="5"/>
      <c r="C944" s="15" t="str">
        <f aca="false">IF(B944="","",IFERROR(INDEX('Mug Marks'!$A$5:$A$204,MATCH(B944,'Mug Marks'!$B$5:$B$204,0)),"(not on Mug Marks)"))</f>
        <v/>
      </c>
      <c r="D944" s="6"/>
      <c r="E944" s="4"/>
      <c r="F944" s="4"/>
      <c r="G944" s="8" t="str">
        <f aca="false">IF(A944="","",A944+Settings!$B$6/24)</f>
        <v/>
      </c>
    </row>
    <row r="945" customFormat="false" ht="15" hidden="false" customHeight="false" outlineLevel="0" collapsed="false">
      <c r="A945" s="14"/>
      <c r="B945" s="5"/>
      <c r="C945" s="15" t="str">
        <f aca="false">IF(B945="","",IFERROR(INDEX('Mug Marks'!$A$5:$A$204,MATCH(B945,'Mug Marks'!$B$5:$B$204,0)),"(not on Mug Marks)"))</f>
        <v/>
      </c>
      <c r="D945" s="6"/>
      <c r="E945" s="4"/>
      <c r="F945" s="4"/>
      <c r="G945" s="8" t="str">
        <f aca="false">IF(A945="","",A945+Settings!$B$6/24)</f>
        <v/>
      </c>
    </row>
    <row r="946" customFormat="false" ht="15" hidden="false" customHeight="false" outlineLevel="0" collapsed="false">
      <c r="A946" s="14"/>
      <c r="B946" s="5"/>
      <c r="C946" s="15" t="str">
        <f aca="false">IF(B946="","",IFERROR(INDEX('Mug Marks'!$A$5:$A$204,MATCH(B946,'Mug Marks'!$B$5:$B$204,0)),"(not on Mug Marks)"))</f>
        <v/>
      </c>
      <c r="D946" s="6"/>
      <c r="E946" s="4"/>
      <c r="F946" s="4"/>
      <c r="G946" s="8" t="str">
        <f aca="false">IF(A946="","",A946+Settings!$B$6/24)</f>
        <v/>
      </c>
    </row>
    <row r="947" customFormat="false" ht="15" hidden="false" customHeight="false" outlineLevel="0" collapsed="false">
      <c r="A947" s="14"/>
      <c r="B947" s="5"/>
      <c r="C947" s="15" t="str">
        <f aca="false">IF(B947="","",IFERROR(INDEX('Mug Marks'!$A$5:$A$204,MATCH(B947,'Mug Marks'!$B$5:$B$204,0)),"(not on Mug Marks)"))</f>
        <v/>
      </c>
      <c r="D947" s="6"/>
      <c r="E947" s="4"/>
      <c r="F947" s="4"/>
      <c r="G947" s="8" t="str">
        <f aca="false">IF(A947="","",A947+Settings!$B$6/24)</f>
        <v/>
      </c>
    </row>
    <row r="948" customFormat="false" ht="15" hidden="false" customHeight="false" outlineLevel="0" collapsed="false">
      <c r="A948" s="14"/>
      <c r="B948" s="5"/>
      <c r="C948" s="15" t="str">
        <f aca="false">IF(B948="","",IFERROR(INDEX('Mug Marks'!$A$5:$A$204,MATCH(B948,'Mug Marks'!$B$5:$B$204,0)),"(not on Mug Marks)"))</f>
        <v/>
      </c>
      <c r="D948" s="6"/>
      <c r="E948" s="4"/>
      <c r="F948" s="4"/>
      <c r="G948" s="8" t="str">
        <f aca="false">IF(A948="","",A948+Settings!$B$6/24)</f>
        <v/>
      </c>
    </row>
    <row r="949" customFormat="false" ht="15" hidden="false" customHeight="false" outlineLevel="0" collapsed="false">
      <c r="A949" s="14"/>
      <c r="B949" s="5"/>
      <c r="C949" s="15" t="str">
        <f aca="false">IF(B949="","",IFERROR(INDEX('Mug Marks'!$A$5:$A$204,MATCH(B949,'Mug Marks'!$B$5:$B$204,0)),"(not on Mug Marks)"))</f>
        <v/>
      </c>
      <c r="D949" s="6"/>
      <c r="E949" s="4"/>
      <c r="F949" s="4"/>
      <c r="G949" s="8" t="str">
        <f aca="false">IF(A949="","",A949+Settings!$B$6/24)</f>
        <v/>
      </c>
    </row>
    <row r="950" customFormat="false" ht="15" hidden="false" customHeight="false" outlineLevel="0" collapsed="false">
      <c r="A950" s="14"/>
      <c r="B950" s="5"/>
      <c r="C950" s="15" t="str">
        <f aca="false">IF(B950="","",IFERROR(INDEX('Mug Marks'!$A$5:$A$204,MATCH(B950,'Mug Marks'!$B$5:$B$204,0)),"(not on Mug Marks)"))</f>
        <v/>
      </c>
      <c r="D950" s="6"/>
      <c r="E950" s="4"/>
      <c r="F950" s="4"/>
      <c r="G950" s="8" t="str">
        <f aca="false">IF(A950="","",A950+Settings!$B$6/24)</f>
        <v/>
      </c>
    </row>
    <row r="951" customFormat="false" ht="15" hidden="false" customHeight="false" outlineLevel="0" collapsed="false">
      <c r="A951" s="14"/>
      <c r="B951" s="5"/>
      <c r="C951" s="15" t="str">
        <f aca="false">IF(B951="","",IFERROR(INDEX('Mug Marks'!$A$5:$A$204,MATCH(B951,'Mug Marks'!$B$5:$B$204,0)),"(not on Mug Marks)"))</f>
        <v/>
      </c>
      <c r="D951" s="6"/>
      <c r="E951" s="4"/>
      <c r="F951" s="4"/>
      <c r="G951" s="8" t="str">
        <f aca="false">IF(A951="","",A951+Settings!$B$6/24)</f>
        <v/>
      </c>
    </row>
    <row r="952" customFormat="false" ht="15" hidden="false" customHeight="false" outlineLevel="0" collapsed="false">
      <c r="A952" s="14"/>
      <c r="B952" s="5"/>
      <c r="C952" s="15" t="str">
        <f aca="false">IF(B952="","",IFERROR(INDEX('Mug Marks'!$A$5:$A$204,MATCH(B952,'Mug Marks'!$B$5:$B$204,0)),"(not on Mug Marks)"))</f>
        <v/>
      </c>
      <c r="D952" s="6"/>
      <c r="E952" s="4"/>
      <c r="F952" s="4"/>
      <c r="G952" s="8" t="str">
        <f aca="false">IF(A952="","",A952+Settings!$B$6/24)</f>
        <v/>
      </c>
    </row>
    <row r="953" customFormat="false" ht="15" hidden="false" customHeight="false" outlineLevel="0" collapsed="false">
      <c r="A953" s="14"/>
      <c r="B953" s="5"/>
      <c r="C953" s="15" t="str">
        <f aca="false">IF(B953="","",IFERROR(INDEX('Mug Marks'!$A$5:$A$204,MATCH(B953,'Mug Marks'!$B$5:$B$204,0)),"(not on Mug Marks)"))</f>
        <v/>
      </c>
      <c r="D953" s="6"/>
      <c r="E953" s="4"/>
      <c r="F953" s="4"/>
      <c r="G953" s="8" t="str">
        <f aca="false">IF(A953="","",A953+Settings!$B$6/24)</f>
        <v/>
      </c>
    </row>
    <row r="954" customFormat="false" ht="15" hidden="false" customHeight="false" outlineLevel="0" collapsed="false">
      <c r="A954" s="14"/>
      <c r="B954" s="5"/>
      <c r="C954" s="15" t="str">
        <f aca="false">IF(B954="","",IFERROR(INDEX('Mug Marks'!$A$5:$A$204,MATCH(B954,'Mug Marks'!$B$5:$B$204,0)),"(not on Mug Marks)"))</f>
        <v/>
      </c>
      <c r="D954" s="6"/>
      <c r="E954" s="4"/>
      <c r="F954" s="4"/>
      <c r="G954" s="8" t="str">
        <f aca="false">IF(A954="","",A954+Settings!$B$6/24)</f>
        <v/>
      </c>
    </row>
    <row r="955" customFormat="false" ht="15" hidden="false" customHeight="false" outlineLevel="0" collapsed="false">
      <c r="A955" s="14"/>
      <c r="B955" s="5"/>
      <c r="C955" s="15" t="str">
        <f aca="false">IF(B955="","",IFERROR(INDEX('Mug Marks'!$A$5:$A$204,MATCH(B955,'Mug Marks'!$B$5:$B$204,0)),"(not on Mug Marks)"))</f>
        <v/>
      </c>
      <c r="D955" s="6"/>
      <c r="E955" s="4"/>
      <c r="F955" s="4"/>
      <c r="G955" s="8" t="str">
        <f aca="false">IF(A955="","",A955+Settings!$B$6/24)</f>
        <v/>
      </c>
    </row>
    <row r="956" customFormat="false" ht="15" hidden="false" customHeight="false" outlineLevel="0" collapsed="false">
      <c r="A956" s="14"/>
      <c r="B956" s="5"/>
      <c r="C956" s="15" t="str">
        <f aca="false">IF(B956="","",IFERROR(INDEX('Mug Marks'!$A$5:$A$204,MATCH(B956,'Mug Marks'!$B$5:$B$204,0)),"(not on Mug Marks)"))</f>
        <v/>
      </c>
      <c r="D956" s="6"/>
      <c r="E956" s="4"/>
      <c r="F956" s="4"/>
      <c r="G956" s="8" t="str">
        <f aca="false">IF(A956="","",A956+Settings!$B$6/24)</f>
        <v/>
      </c>
    </row>
    <row r="957" customFormat="false" ht="15" hidden="false" customHeight="false" outlineLevel="0" collapsed="false">
      <c r="A957" s="14"/>
      <c r="B957" s="5"/>
      <c r="C957" s="15" t="str">
        <f aca="false">IF(B957="","",IFERROR(INDEX('Mug Marks'!$A$5:$A$204,MATCH(B957,'Mug Marks'!$B$5:$B$204,0)),"(not on Mug Marks)"))</f>
        <v/>
      </c>
      <c r="D957" s="6"/>
      <c r="E957" s="4"/>
      <c r="F957" s="4"/>
      <c r="G957" s="8" t="str">
        <f aca="false">IF(A957="","",A957+Settings!$B$6/24)</f>
        <v/>
      </c>
    </row>
    <row r="958" customFormat="false" ht="15" hidden="false" customHeight="false" outlineLevel="0" collapsed="false">
      <c r="A958" s="14"/>
      <c r="B958" s="5"/>
      <c r="C958" s="15" t="str">
        <f aca="false">IF(B958="","",IFERROR(INDEX('Mug Marks'!$A$5:$A$204,MATCH(B958,'Mug Marks'!$B$5:$B$204,0)),"(not on Mug Marks)"))</f>
        <v/>
      </c>
      <c r="D958" s="6"/>
      <c r="E958" s="4"/>
      <c r="F958" s="4"/>
      <c r="G958" s="8" t="str">
        <f aca="false">IF(A958="","",A958+Settings!$B$6/24)</f>
        <v/>
      </c>
    </row>
    <row r="959" customFormat="false" ht="15" hidden="false" customHeight="false" outlineLevel="0" collapsed="false">
      <c r="A959" s="14"/>
      <c r="B959" s="5"/>
      <c r="C959" s="15" t="str">
        <f aca="false">IF(B959="","",IFERROR(INDEX('Mug Marks'!$A$5:$A$204,MATCH(B959,'Mug Marks'!$B$5:$B$204,0)),"(not on Mug Marks)"))</f>
        <v/>
      </c>
      <c r="D959" s="6"/>
      <c r="E959" s="4"/>
      <c r="F959" s="4"/>
      <c r="G959" s="8" t="str">
        <f aca="false">IF(A959="","",A959+Settings!$B$6/24)</f>
        <v/>
      </c>
    </row>
    <row r="960" customFormat="false" ht="15" hidden="false" customHeight="false" outlineLevel="0" collapsed="false">
      <c r="A960" s="14"/>
      <c r="B960" s="5"/>
      <c r="C960" s="15" t="str">
        <f aca="false">IF(B960="","",IFERROR(INDEX('Mug Marks'!$A$5:$A$204,MATCH(B960,'Mug Marks'!$B$5:$B$204,0)),"(not on Mug Marks)"))</f>
        <v/>
      </c>
      <c r="D960" s="6"/>
      <c r="E960" s="4"/>
      <c r="F960" s="4"/>
      <c r="G960" s="8" t="str">
        <f aca="false">IF(A960="","",A960+Settings!$B$6/24)</f>
        <v/>
      </c>
    </row>
    <row r="961" customFormat="false" ht="15" hidden="false" customHeight="false" outlineLevel="0" collapsed="false">
      <c r="A961" s="14"/>
      <c r="B961" s="5"/>
      <c r="C961" s="15" t="str">
        <f aca="false">IF(B961="","",IFERROR(INDEX('Mug Marks'!$A$5:$A$204,MATCH(B961,'Mug Marks'!$B$5:$B$204,0)),"(not on Mug Marks)"))</f>
        <v/>
      </c>
      <c r="D961" s="6"/>
      <c r="E961" s="4"/>
      <c r="F961" s="4"/>
      <c r="G961" s="8" t="str">
        <f aca="false">IF(A961="","",A961+Settings!$B$6/24)</f>
        <v/>
      </c>
    </row>
    <row r="962" customFormat="false" ht="15" hidden="false" customHeight="false" outlineLevel="0" collapsed="false">
      <c r="A962" s="14"/>
      <c r="B962" s="5"/>
      <c r="C962" s="15" t="str">
        <f aca="false">IF(B962="","",IFERROR(INDEX('Mug Marks'!$A$5:$A$204,MATCH(B962,'Mug Marks'!$B$5:$B$204,0)),"(not on Mug Marks)"))</f>
        <v/>
      </c>
      <c r="D962" s="6"/>
      <c r="E962" s="4"/>
      <c r="F962" s="4"/>
      <c r="G962" s="8" t="str">
        <f aca="false">IF(A962="","",A962+Settings!$B$6/24)</f>
        <v/>
      </c>
    </row>
    <row r="963" customFormat="false" ht="15" hidden="false" customHeight="false" outlineLevel="0" collapsed="false">
      <c r="A963" s="14"/>
      <c r="B963" s="5"/>
      <c r="C963" s="15" t="str">
        <f aca="false">IF(B963="","",IFERROR(INDEX('Mug Marks'!$A$5:$A$204,MATCH(B963,'Mug Marks'!$B$5:$B$204,0)),"(not on Mug Marks)"))</f>
        <v/>
      </c>
      <c r="D963" s="6"/>
      <c r="E963" s="4"/>
      <c r="F963" s="4"/>
      <c r="G963" s="8" t="str">
        <f aca="false">IF(A963="","",A963+Settings!$B$6/24)</f>
        <v/>
      </c>
    </row>
    <row r="964" customFormat="false" ht="15" hidden="false" customHeight="false" outlineLevel="0" collapsed="false">
      <c r="A964" s="14"/>
      <c r="B964" s="5"/>
      <c r="C964" s="15" t="str">
        <f aca="false">IF(B964="","",IFERROR(INDEX('Mug Marks'!$A$5:$A$204,MATCH(B964,'Mug Marks'!$B$5:$B$204,0)),"(not on Mug Marks)"))</f>
        <v/>
      </c>
      <c r="D964" s="6"/>
      <c r="E964" s="4"/>
      <c r="F964" s="4"/>
      <c r="G964" s="8" t="str">
        <f aca="false">IF(A964="","",A964+Settings!$B$6/24)</f>
        <v/>
      </c>
    </row>
    <row r="965" customFormat="false" ht="15" hidden="false" customHeight="false" outlineLevel="0" collapsed="false">
      <c r="A965" s="14"/>
      <c r="B965" s="5"/>
      <c r="C965" s="15" t="str">
        <f aca="false">IF(B965="","",IFERROR(INDEX('Mug Marks'!$A$5:$A$204,MATCH(B965,'Mug Marks'!$B$5:$B$204,0)),"(not on Mug Marks)"))</f>
        <v/>
      </c>
      <c r="D965" s="6"/>
      <c r="E965" s="4"/>
      <c r="F965" s="4"/>
      <c r="G965" s="8" t="str">
        <f aca="false">IF(A965="","",A965+Settings!$B$6/24)</f>
        <v/>
      </c>
    </row>
    <row r="966" customFormat="false" ht="15" hidden="false" customHeight="false" outlineLevel="0" collapsed="false">
      <c r="A966" s="14"/>
      <c r="B966" s="5"/>
      <c r="C966" s="15" t="str">
        <f aca="false">IF(B966="","",IFERROR(INDEX('Mug Marks'!$A$5:$A$204,MATCH(B966,'Mug Marks'!$B$5:$B$204,0)),"(not on Mug Marks)"))</f>
        <v/>
      </c>
      <c r="D966" s="6"/>
      <c r="E966" s="4"/>
      <c r="F966" s="4"/>
      <c r="G966" s="8" t="str">
        <f aca="false">IF(A966="","",A966+Settings!$B$6/24)</f>
        <v/>
      </c>
    </row>
    <row r="967" customFormat="false" ht="15" hidden="false" customHeight="false" outlineLevel="0" collapsed="false">
      <c r="A967" s="14"/>
      <c r="B967" s="5"/>
      <c r="C967" s="15" t="str">
        <f aca="false">IF(B967="","",IFERROR(INDEX('Mug Marks'!$A$5:$A$204,MATCH(B967,'Mug Marks'!$B$5:$B$204,0)),"(not on Mug Marks)"))</f>
        <v/>
      </c>
      <c r="D967" s="6"/>
      <c r="E967" s="4"/>
      <c r="F967" s="4"/>
      <c r="G967" s="8" t="str">
        <f aca="false">IF(A967="","",A967+Settings!$B$6/24)</f>
        <v/>
      </c>
    </row>
    <row r="968" customFormat="false" ht="15" hidden="false" customHeight="false" outlineLevel="0" collapsed="false">
      <c r="A968" s="14"/>
      <c r="B968" s="5"/>
      <c r="C968" s="15" t="str">
        <f aca="false">IF(B968="","",IFERROR(INDEX('Mug Marks'!$A$5:$A$204,MATCH(B968,'Mug Marks'!$B$5:$B$204,0)),"(not on Mug Marks)"))</f>
        <v/>
      </c>
      <c r="D968" s="6"/>
      <c r="E968" s="4"/>
      <c r="F968" s="4"/>
      <c r="G968" s="8" t="str">
        <f aca="false">IF(A968="","",A968+Settings!$B$6/24)</f>
        <v/>
      </c>
    </row>
    <row r="969" customFormat="false" ht="15" hidden="false" customHeight="false" outlineLevel="0" collapsed="false">
      <c r="A969" s="14"/>
      <c r="B969" s="5"/>
      <c r="C969" s="15" t="str">
        <f aca="false">IF(B969="","",IFERROR(INDEX('Mug Marks'!$A$5:$A$204,MATCH(B969,'Mug Marks'!$B$5:$B$204,0)),"(not on Mug Marks)"))</f>
        <v/>
      </c>
      <c r="D969" s="6"/>
      <c r="E969" s="4"/>
      <c r="F969" s="4"/>
      <c r="G969" s="8" t="str">
        <f aca="false">IF(A969="","",A969+Settings!$B$6/24)</f>
        <v/>
      </c>
    </row>
    <row r="970" customFormat="false" ht="15" hidden="false" customHeight="false" outlineLevel="0" collapsed="false">
      <c r="A970" s="14"/>
      <c r="B970" s="5"/>
      <c r="C970" s="15" t="str">
        <f aca="false">IF(B970="","",IFERROR(INDEX('Mug Marks'!$A$5:$A$204,MATCH(B970,'Mug Marks'!$B$5:$B$204,0)),"(not on Mug Marks)"))</f>
        <v/>
      </c>
      <c r="D970" s="6"/>
      <c r="E970" s="4"/>
      <c r="F970" s="4"/>
      <c r="G970" s="8" t="str">
        <f aca="false">IF(A970="","",A970+Settings!$B$6/24)</f>
        <v/>
      </c>
    </row>
    <row r="971" customFormat="false" ht="15" hidden="false" customHeight="false" outlineLevel="0" collapsed="false">
      <c r="A971" s="14"/>
      <c r="B971" s="5"/>
      <c r="C971" s="15" t="str">
        <f aca="false">IF(B971="","",IFERROR(INDEX('Mug Marks'!$A$5:$A$204,MATCH(B971,'Mug Marks'!$B$5:$B$204,0)),"(not on Mug Marks)"))</f>
        <v/>
      </c>
      <c r="D971" s="6"/>
      <c r="E971" s="4"/>
      <c r="F971" s="4"/>
      <c r="G971" s="8" t="str">
        <f aca="false">IF(A971="","",A971+Settings!$B$6/24)</f>
        <v/>
      </c>
    </row>
    <row r="972" customFormat="false" ht="15" hidden="false" customHeight="false" outlineLevel="0" collapsed="false">
      <c r="A972" s="14"/>
      <c r="B972" s="5"/>
      <c r="C972" s="15" t="str">
        <f aca="false">IF(B972="","",IFERROR(INDEX('Mug Marks'!$A$5:$A$204,MATCH(B972,'Mug Marks'!$B$5:$B$204,0)),"(not on Mug Marks)"))</f>
        <v/>
      </c>
      <c r="D972" s="6"/>
      <c r="E972" s="4"/>
      <c r="F972" s="4"/>
      <c r="G972" s="8" t="str">
        <f aca="false">IF(A972="","",A972+Settings!$B$6/24)</f>
        <v/>
      </c>
    </row>
    <row r="973" customFormat="false" ht="15" hidden="false" customHeight="false" outlineLevel="0" collapsed="false">
      <c r="A973" s="14"/>
      <c r="B973" s="5"/>
      <c r="C973" s="15" t="str">
        <f aca="false">IF(B973="","",IFERROR(INDEX('Mug Marks'!$A$5:$A$204,MATCH(B973,'Mug Marks'!$B$5:$B$204,0)),"(not on Mug Marks)"))</f>
        <v/>
      </c>
      <c r="D973" s="6"/>
      <c r="E973" s="4"/>
      <c r="F973" s="4"/>
      <c r="G973" s="8" t="str">
        <f aca="false">IF(A973="","",A973+Settings!$B$6/24)</f>
        <v/>
      </c>
    </row>
    <row r="974" customFormat="false" ht="15" hidden="false" customHeight="false" outlineLevel="0" collapsed="false">
      <c r="A974" s="14"/>
      <c r="B974" s="5"/>
      <c r="C974" s="15" t="str">
        <f aca="false">IF(B974="","",IFERROR(INDEX('Mug Marks'!$A$5:$A$204,MATCH(B974,'Mug Marks'!$B$5:$B$204,0)),"(not on Mug Marks)"))</f>
        <v/>
      </c>
      <c r="D974" s="6"/>
      <c r="E974" s="4"/>
      <c r="F974" s="4"/>
      <c r="G974" s="8" t="str">
        <f aca="false">IF(A974="","",A974+Settings!$B$6/24)</f>
        <v/>
      </c>
    </row>
    <row r="975" customFormat="false" ht="15" hidden="false" customHeight="false" outlineLevel="0" collapsed="false">
      <c r="A975" s="14"/>
      <c r="B975" s="5"/>
      <c r="C975" s="15" t="str">
        <f aca="false">IF(B975="","",IFERROR(INDEX('Mug Marks'!$A$5:$A$204,MATCH(B975,'Mug Marks'!$B$5:$B$204,0)),"(not on Mug Marks)"))</f>
        <v/>
      </c>
      <c r="D975" s="6"/>
      <c r="E975" s="4"/>
      <c r="F975" s="4"/>
      <c r="G975" s="8" t="str">
        <f aca="false">IF(A975="","",A975+Settings!$B$6/24)</f>
        <v/>
      </c>
    </row>
    <row r="976" customFormat="false" ht="15" hidden="false" customHeight="false" outlineLevel="0" collapsed="false">
      <c r="A976" s="14"/>
      <c r="B976" s="5"/>
      <c r="C976" s="15" t="str">
        <f aca="false">IF(B976="","",IFERROR(INDEX('Mug Marks'!$A$5:$A$204,MATCH(B976,'Mug Marks'!$B$5:$B$204,0)),"(not on Mug Marks)"))</f>
        <v/>
      </c>
      <c r="D976" s="6"/>
      <c r="E976" s="4"/>
      <c r="F976" s="4"/>
      <c r="G976" s="8" t="str">
        <f aca="false">IF(A976="","",A976+Settings!$B$6/24)</f>
        <v/>
      </c>
    </row>
    <row r="977" customFormat="false" ht="15" hidden="false" customHeight="false" outlineLevel="0" collapsed="false">
      <c r="A977" s="14"/>
      <c r="B977" s="5"/>
      <c r="C977" s="15" t="str">
        <f aca="false">IF(B977="","",IFERROR(INDEX('Mug Marks'!$A$5:$A$204,MATCH(B977,'Mug Marks'!$B$5:$B$204,0)),"(not on Mug Marks)"))</f>
        <v/>
      </c>
      <c r="D977" s="6"/>
      <c r="E977" s="4"/>
      <c r="F977" s="4"/>
      <c r="G977" s="8" t="str">
        <f aca="false">IF(A977="","",A977+Settings!$B$6/24)</f>
        <v/>
      </c>
    </row>
    <row r="978" customFormat="false" ht="15" hidden="false" customHeight="false" outlineLevel="0" collapsed="false">
      <c r="A978" s="14"/>
      <c r="B978" s="5"/>
      <c r="C978" s="15" t="str">
        <f aca="false">IF(B978="","",IFERROR(INDEX('Mug Marks'!$A$5:$A$204,MATCH(B978,'Mug Marks'!$B$5:$B$204,0)),"(not on Mug Marks)"))</f>
        <v/>
      </c>
      <c r="D978" s="6"/>
      <c r="E978" s="4"/>
      <c r="F978" s="4"/>
      <c r="G978" s="8" t="str">
        <f aca="false">IF(A978="","",A978+Settings!$B$6/24)</f>
        <v/>
      </c>
    </row>
    <row r="979" customFormat="false" ht="15" hidden="false" customHeight="false" outlineLevel="0" collapsed="false">
      <c r="A979" s="14"/>
      <c r="B979" s="5"/>
      <c r="C979" s="15" t="str">
        <f aca="false">IF(B979="","",IFERROR(INDEX('Mug Marks'!$A$5:$A$204,MATCH(B979,'Mug Marks'!$B$5:$B$204,0)),"(not on Mug Marks)"))</f>
        <v/>
      </c>
      <c r="D979" s="6"/>
      <c r="E979" s="4"/>
      <c r="F979" s="4"/>
      <c r="G979" s="8" t="str">
        <f aca="false">IF(A979="","",A979+Settings!$B$6/24)</f>
        <v/>
      </c>
    </row>
    <row r="980" customFormat="false" ht="15" hidden="false" customHeight="false" outlineLevel="0" collapsed="false">
      <c r="A980" s="14"/>
      <c r="B980" s="5"/>
      <c r="C980" s="15" t="str">
        <f aca="false">IF(B980="","",IFERROR(INDEX('Mug Marks'!$A$5:$A$204,MATCH(B980,'Mug Marks'!$B$5:$B$204,0)),"(not on Mug Marks)"))</f>
        <v/>
      </c>
      <c r="D980" s="6"/>
      <c r="E980" s="4"/>
      <c r="F980" s="4"/>
      <c r="G980" s="8" t="str">
        <f aca="false">IF(A980="","",A980+Settings!$B$6/24)</f>
        <v/>
      </c>
    </row>
    <row r="981" customFormat="false" ht="15" hidden="false" customHeight="false" outlineLevel="0" collapsed="false">
      <c r="A981" s="14"/>
      <c r="B981" s="5"/>
      <c r="C981" s="15" t="str">
        <f aca="false">IF(B981="","",IFERROR(INDEX('Mug Marks'!$A$5:$A$204,MATCH(B981,'Mug Marks'!$B$5:$B$204,0)),"(not on Mug Marks)"))</f>
        <v/>
      </c>
      <c r="D981" s="6"/>
      <c r="E981" s="4"/>
      <c r="F981" s="4"/>
      <c r="G981" s="8" t="str">
        <f aca="false">IF(A981="","",A981+Settings!$B$6/24)</f>
        <v/>
      </c>
    </row>
    <row r="982" customFormat="false" ht="15" hidden="false" customHeight="false" outlineLevel="0" collapsed="false">
      <c r="A982" s="14"/>
      <c r="B982" s="5"/>
      <c r="C982" s="15" t="str">
        <f aca="false">IF(B982="","",IFERROR(INDEX('Mug Marks'!$A$5:$A$204,MATCH(B982,'Mug Marks'!$B$5:$B$204,0)),"(not on Mug Marks)"))</f>
        <v/>
      </c>
      <c r="D982" s="6"/>
      <c r="E982" s="4"/>
      <c r="F982" s="4"/>
      <c r="G982" s="8" t="str">
        <f aca="false">IF(A982="","",A982+Settings!$B$6/24)</f>
        <v/>
      </c>
    </row>
    <row r="983" customFormat="false" ht="15" hidden="false" customHeight="false" outlineLevel="0" collapsed="false">
      <c r="A983" s="14"/>
      <c r="B983" s="5"/>
      <c r="C983" s="15" t="str">
        <f aca="false">IF(B983="","",IFERROR(INDEX('Mug Marks'!$A$5:$A$204,MATCH(B983,'Mug Marks'!$B$5:$B$204,0)),"(not on Mug Marks)"))</f>
        <v/>
      </c>
      <c r="D983" s="6"/>
      <c r="E983" s="4"/>
      <c r="F983" s="4"/>
      <c r="G983" s="8" t="str">
        <f aca="false">IF(A983="","",A983+Settings!$B$6/24)</f>
        <v/>
      </c>
    </row>
    <row r="984" customFormat="false" ht="15" hidden="false" customHeight="false" outlineLevel="0" collapsed="false">
      <c r="A984" s="14"/>
      <c r="B984" s="5"/>
      <c r="C984" s="15" t="str">
        <f aca="false">IF(B984="","",IFERROR(INDEX('Mug Marks'!$A$5:$A$204,MATCH(B984,'Mug Marks'!$B$5:$B$204,0)),"(not on Mug Marks)"))</f>
        <v/>
      </c>
      <c r="D984" s="6"/>
      <c r="E984" s="4"/>
      <c r="F984" s="4"/>
      <c r="G984" s="8" t="str">
        <f aca="false">IF(A984="","",A984+Settings!$B$6/24)</f>
        <v/>
      </c>
    </row>
    <row r="985" customFormat="false" ht="15" hidden="false" customHeight="false" outlineLevel="0" collapsed="false">
      <c r="A985" s="14"/>
      <c r="B985" s="5"/>
      <c r="C985" s="15" t="str">
        <f aca="false">IF(B985="","",IFERROR(INDEX('Mug Marks'!$A$5:$A$204,MATCH(B985,'Mug Marks'!$B$5:$B$204,0)),"(not on Mug Marks)"))</f>
        <v/>
      </c>
      <c r="D985" s="6"/>
      <c r="E985" s="4"/>
      <c r="F985" s="4"/>
      <c r="G985" s="8" t="str">
        <f aca="false">IF(A985="","",A985+Settings!$B$6/24)</f>
        <v/>
      </c>
    </row>
    <row r="986" customFormat="false" ht="15" hidden="false" customHeight="false" outlineLevel="0" collapsed="false">
      <c r="A986" s="14"/>
      <c r="B986" s="5"/>
      <c r="C986" s="15" t="str">
        <f aca="false">IF(B986="","",IFERROR(INDEX('Mug Marks'!$A$5:$A$204,MATCH(B986,'Mug Marks'!$B$5:$B$204,0)),"(not on Mug Marks)"))</f>
        <v/>
      </c>
      <c r="D986" s="6"/>
      <c r="E986" s="4"/>
      <c r="F986" s="4"/>
      <c r="G986" s="8" t="str">
        <f aca="false">IF(A986="","",A986+Settings!$B$6/24)</f>
        <v/>
      </c>
    </row>
    <row r="987" customFormat="false" ht="15" hidden="false" customHeight="false" outlineLevel="0" collapsed="false">
      <c r="A987" s="14"/>
      <c r="B987" s="5"/>
      <c r="C987" s="15" t="str">
        <f aca="false">IF(B987="","",IFERROR(INDEX('Mug Marks'!$A$5:$A$204,MATCH(B987,'Mug Marks'!$B$5:$B$204,0)),"(not on Mug Marks)"))</f>
        <v/>
      </c>
      <c r="D987" s="6"/>
      <c r="E987" s="4"/>
      <c r="F987" s="4"/>
      <c r="G987" s="8" t="str">
        <f aca="false">IF(A987="","",A987+Settings!$B$6/24)</f>
        <v/>
      </c>
    </row>
    <row r="988" customFormat="false" ht="15" hidden="false" customHeight="false" outlineLevel="0" collapsed="false">
      <c r="A988" s="14"/>
      <c r="B988" s="5"/>
      <c r="C988" s="15" t="str">
        <f aca="false">IF(B988="","",IFERROR(INDEX('Mug Marks'!$A$5:$A$204,MATCH(B988,'Mug Marks'!$B$5:$B$204,0)),"(not on Mug Marks)"))</f>
        <v/>
      </c>
      <c r="D988" s="6"/>
      <c r="E988" s="4"/>
      <c r="F988" s="4"/>
      <c r="G988" s="8" t="str">
        <f aca="false">IF(A988="","",A988+Settings!$B$6/24)</f>
        <v/>
      </c>
    </row>
    <row r="989" customFormat="false" ht="15" hidden="false" customHeight="false" outlineLevel="0" collapsed="false">
      <c r="A989" s="14"/>
      <c r="B989" s="5"/>
      <c r="C989" s="15" t="str">
        <f aca="false">IF(B989="","",IFERROR(INDEX('Mug Marks'!$A$5:$A$204,MATCH(B989,'Mug Marks'!$B$5:$B$204,0)),"(not on Mug Marks)"))</f>
        <v/>
      </c>
      <c r="D989" s="6"/>
      <c r="E989" s="4"/>
      <c r="F989" s="4"/>
      <c r="G989" s="8" t="str">
        <f aca="false">IF(A989="","",A989+Settings!$B$6/24)</f>
        <v/>
      </c>
    </row>
    <row r="990" customFormat="false" ht="15" hidden="false" customHeight="false" outlineLevel="0" collapsed="false">
      <c r="A990" s="14"/>
      <c r="B990" s="5"/>
      <c r="C990" s="15" t="str">
        <f aca="false">IF(B990="","",IFERROR(INDEX('Mug Marks'!$A$5:$A$204,MATCH(B990,'Mug Marks'!$B$5:$B$204,0)),"(not on Mug Marks)"))</f>
        <v/>
      </c>
      <c r="D990" s="6"/>
      <c r="E990" s="4"/>
      <c r="F990" s="4"/>
      <c r="G990" s="8" t="str">
        <f aca="false">IF(A990="","",A990+Settings!$B$6/24)</f>
        <v/>
      </c>
    </row>
    <row r="991" customFormat="false" ht="15" hidden="false" customHeight="false" outlineLevel="0" collapsed="false">
      <c r="A991" s="14"/>
      <c r="B991" s="5"/>
      <c r="C991" s="15" t="str">
        <f aca="false">IF(B991="","",IFERROR(INDEX('Mug Marks'!$A$5:$A$204,MATCH(B991,'Mug Marks'!$B$5:$B$204,0)),"(not on Mug Marks)"))</f>
        <v/>
      </c>
      <c r="D991" s="6"/>
      <c r="E991" s="4"/>
      <c r="F991" s="4"/>
      <c r="G991" s="8" t="str">
        <f aca="false">IF(A991="","",A991+Settings!$B$6/24)</f>
        <v/>
      </c>
    </row>
    <row r="992" customFormat="false" ht="15" hidden="false" customHeight="false" outlineLevel="0" collapsed="false">
      <c r="A992" s="14"/>
      <c r="B992" s="5"/>
      <c r="C992" s="15" t="str">
        <f aca="false">IF(B992="","",IFERROR(INDEX('Mug Marks'!$A$5:$A$204,MATCH(B992,'Mug Marks'!$B$5:$B$204,0)),"(not on Mug Marks)"))</f>
        <v/>
      </c>
      <c r="D992" s="6"/>
      <c r="E992" s="4"/>
      <c r="F992" s="4"/>
      <c r="G992" s="8" t="str">
        <f aca="false">IF(A992="","",A992+Settings!$B$6/24)</f>
        <v/>
      </c>
    </row>
    <row r="993" customFormat="false" ht="15" hidden="false" customHeight="false" outlineLevel="0" collapsed="false">
      <c r="A993" s="14"/>
      <c r="B993" s="5"/>
      <c r="C993" s="15" t="str">
        <f aca="false">IF(B993="","",IFERROR(INDEX('Mug Marks'!$A$5:$A$204,MATCH(B993,'Mug Marks'!$B$5:$B$204,0)),"(not on Mug Marks)"))</f>
        <v/>
      </c>
      <c r="D993" s="6"/>
      <c r="E993" s="4"/>
      <c r="F993" s="4"/>
      <c r="G993" s="8" t="str">
        <f aca="false">IF(A993="","",A993+Settings!$B$6/24)</f>
        <v/>
      </c>
    </row>
    <row r="994" customFormat="false" ht="15" hidden="false" customHeight="false" outlineLevel="0" collapsed="false">
      <c r="A994" s="14"/>
      <c r="B994" s="5"/>
      <c r="C994" s="15" t="str">
        <f aca="false">IF(B994="","",IFERROR(INDEX('Mug Marks'!$A$5:$A$204,MATCH(B994,'Mug Marks'!$B$5:$B$204,0)),"(not on Mug Marks)"))</f>
        <v/>
      </c>
      <c r="D994" s="6"/>
      <c r="E994" s="4"/>
      <c r="F994" s="4"/>
      <c r="G994" s="8" t="str">
        <f aca="false">IF(A994="","",A994+Settings!$B$6/24)</f>
        <v/>
      </c>
    </row>
    <row r="995" customFormat="false" ht="15" hidden="false" customHeight="false" outlineLevel="0" collapsed="false">
      <c r="A995" s="14"/>
      <c r="B995" s="5"/>
      <c r="C995" s="15" t="str">
        <f aca="false">IF(B995="","",IFERROR(INDEX('Mug Marks'!$A$5:$A$204,MATCH(B995,'Mug Marks'!$B$5:$B$204,0)),"(not on Mug Marks)"))</f>
        <v/>
      </c>
      <c r="D995" s="6"/>
      <c r="E995" s="4"/>
      <c r="F995" s="4"/>
      <c r="G995" s="8" t="str">
        <f aca="false">IF(A995="","",A995+Settings!$B$6/24)</f>
        <v/>
      </c>
    </row>
    <row r="996" customFormat="false" ht="15" hidden="false" customHeight="false" outlineLevel="0" collapsed="false">
      <c r="A996" s="14"/>
      <c r="B996" s="5"/>
      <c r="C996" s="15" t="str">
        <f aca="false">IF(B996="","",IFERROR(INDEX('Mug Marks'!$A$5:$A$204,MATCH(B996,'Mug Marks'!$B$5:$B$204,0)),"(not on Mug Marks)"))</f>
        <v/>
      </c>
      <c r="D996" s="6"/>
      <c r="E996" s="4"/>
      <c r="F996" s="4"/>
      <c r="G996" s="8" t="str">
        <f aca="false">IF(A996="","",A996+Settings!$B$6/24)</f>
        <v/>
      </c>
    </row>
    <row r="997" customFormat="false" ht="15" hidden="false" customHeight="false" outlineLevel="0" collapsed="false">
      <c r="A997" s="14"/>
      <c r="B997" s="5"/>
      <c r="C997" s="15" t="str">
        <f aca="false">IF(B997="","",IFERROR(INDEX('Mug Marks'!$A$5:$A$204,MATCH(B997,'Mug Marks'!$B$5:$B$204,0)),"(not on Mug Marks)"))</f>
        <v/>
      </c>
      <c r="D997" s="6"/>
      <c r="E997" s="4"/>
      <c r="F997" s="4"/>
      <c r="G997" s="8" t="str">
        <f aca="false">IF(A997="","",A997+Settings!$B$6/24)</f>
        <v/>
      </c>
    </row>
    <row r="998" customFormat="false" ht="15" hidden="false" customHeight="false" outlineLevel="0" collapsed="false">
      <c r="A998" s="14"/>
      <c r="B998" s="5"/>
      <c r="C998" s="15" t="str">
        <f aca="false">IF(B998="","",IFERROR(INDEX('Mug Marks'!$A$5:$A$204,MATCH(B998,'Mug Marks'!$B$5:$B$204,0)),"(not on Mug Marks)"))</f>
        <v/>
      </c>
      <c r="D998" s="6"/>
      <c r="E998" s="4"/>
      <c r="F998" s="4"/>
      <c r="G998" s="8" t="str">
        <f aca="false">IF(A998="","",A998+Settings!$B$6/24)</f>
        <v/>
      </c>
    </row>
    <row r="999" customFormat="false" ht="15" hidden="false" customHeight="false" outlineLevel="0" collapsed="false">
      <c r="A999" s="14"/>
      <c r="B999" s="5"/>
      <c r="C999" s="15" t="str">
        <f aca="false">IF(B999="","",IFERROR(INDEX('Mug Marks'!$A$5:$A$204,MATCH(B999,'Mug Marks'!$B$5:$B$204,0)),"(not on Mug Marks)"))</f>
        <v/>
      </c>
      <c r="D999" s="6"/>
      <c r="E999" s="4"/>
      <c r="F999" s="4"/>
      <c r="G999" s="8" t="str">
        <f aca="false">IF(A999="","",A999+Settings!$B$6/24)</f>
        <v/>
      </c>
    </row>
    <row r="1000" customFormat="false" ht="15" hidden="false" customHeight="false" outlineLevel="0" collapsed="false">
      <c r="A1000" s="14"/>
      <c r="B1000" s="5"/>
      <c r="C1000" s="15" t="str">
        <f aca="false">IF(B1000="","",IFERROR(INDEX('Mug Marks'!$A$5:$A$204,MATCH(B1000,'Mug Marks'!$B$5:$B$204,0)),"(not on Mug Marks)"))</f>
        <v/>
      </c>
      <c r="D1000" s="6"/>
      <c r="E1000" s="4"/>
      <c r="F1000" s="4"/>
      <c r="G1000" s="8" t="str">
        <f aca="false">IF(A1000="","",A1000+Settings!$B$6/24)</f>
        <v/>
      </c>
    </row>
    <row r="1001" customFormat="false" ht="15" hidden="false" customHeight="false" outlineLevel="0" collapsed="false">
      <c r="A1001" s="14"/>
      <c r="B1001" s="5"/>
      <c r="C1001" s="15" t="str">
        <f aca="false">IF(B1001="","",IFERROR(INDEX('Mug Marks'!$A$5:$A$204,MATCH(B1001,'Mug Marks'!$B$5:$B$204,0)),"(not on Mug Marks)"))</f>
        <v/>
      </c>
      <c r="D1001" s="6"/>
      <c r="E1001" s="4"/>
      <c r="F1001" s="4"/>
      <c r="G1001" s="8" t="str">
        <f aca="false">IF(A1001="","",A1001+Settings!$B$6/24)</f>
        <v/>
      </c>
    </row>
    <row r="1002" customFormat="false" ht="15" hidden="false" customHeight="false" outlineLevel="0" collapsed="false">
      <c r="A1002" s="14"/>
      <c r="B1002" s="5"/>
      <c r="C1002" s="15" t="str">
        <f aca="false">IF(B1002="","",IFERROR(INDEX('Mug Marks'!$A$5:$A$204,MATCH(B1002,'Mug Marks'!$B$5:$B$204,0)),"(not on Mug Marks)"))</f>
        <v/>
      </c>
      <c r="D1002" s="6"/>
      <c r="E1002" s="4"/>
      <c r="F1002" s="4"/>
      <c r="G1002" s="8" t="str">
        <f aca="false">IF(A1002="","",A1002+Settings!$B$6/24)</f>
        <v/>
      </c>
    </row>
    <row r="1003" customFormat="false" ht="15" hidden="false" customHeight="false" outlineLevel="0" collapsed="false">
      <c r="A1003" s="14"/>
      <c r="B1003" s="5"/>
      <c r="C1003" s="15" t="str">
        <f aca="false">IF(B1003="","",IFERROR(INDEX('Mug Marks'!$A$5:$A$204,MATCH(B1003,'Mug Marks'!$B$5:$B$204,0)),"(not on Mug Marks)"))</f>
        <v/>
      </c>
      <c r="D1003" s="6"/>
      <c r="E1003" s="4"/>
      <c r="F1003" s="4"/>
      <c r="G1003" s="8" t="str">
        <f aca="false">IF(A1003="","",A1003+Settings!$B$6/24)</f>
        <v/>
      </c>
    </row>
    <row r="1004" customFormat="false" ht="15" hidden="false" customHeight="false" outlineLevel="0" collapsed="false">
      <c r="A1004" s="14"/>
      <c r="B1004" s="5"/>
      <c r="C1004" s="15" t="str">
        <f aca="false">IF(B1004="","",IFERROR(INDEX('Mug Marks'!$A$5:$A$204,MATCH(B1004,'Mug Marks'!$B$5:$B$204,0)),"(not on Mug Marks)"))</f>
        <v/>
      </c>
      <c r="D1004" s="6"/>
      <c r="E1004" s="4"/>
      <c r="F1004" s="4"/>
      <c r="G1004" s="8" t="str">
        <f aca="false">IF(A1004="","",A1004+Settings!$B$6/24)</f>
        <v/>
      </c>
    </row>
  </sheetData>
  <autoFilter ref="A4:G1004"/>
  <dataValidations count="1">
    <dataValidation allowBlank="true" errorStyle="stop" operator="between" showDropDown="false" showErrorMessage="false" showInputMessage="false" sqref="E5:E1004" type="list">
      <formula1>"Success,Failed,Lost fight,Target had no cash,Other"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6" t="s">
        <v>39</v>
      </c>
      <c r="B4" s="17"/>
      <c r="C4" s="18" t="s">
        <v>40</v>
      </c>
    </row>
    <row r="5" customFormat="false" ht="15" hidden="false" customHeight="false" outlineLevel="0" collapsed="false">
      <c r="A5" s="16" t="s">
        <v>41</v>
      </c>
      <c r="B5" s="15" t="n">
        <f aca="true">IF(AND(TODAY()&gt;=DATE(YEAR(TODAY()),3,1)+MOD(8-WEEKDAY(DATE(YEAR(TODAY()),3,1)),7)+7,TODAY()&lt;DATE(YEAR(TODAY()),11,1)+MOD(8-WEEKDAY(DATE(YEAR(TODAY()),11,1)),7)),-7,-8)</f>
        <v>-7</v>
      </c>
      <c r="C5" s="18" t="s">
        <v>42</v>
      </c>
    </row>
    <row r="6" customFormat="false" ht="15" hidden="false" customHeight="false" outlineLevel="0" collapsed="false">
      <c r="A6" s="16" t="s">
        <v>43</v>
      </c>
      <c r="B6" s="15" t="n">
        <f aca="false">IF(B4&lt;&gt;"",B4,B5)</f>
        <v>-7</v>
      </c>
      <c r="C6" s="18" t="s">
        <v>44</v>
      </c>
    </row>
    <row r="7" customFormat="false" ht="15" hidden="false" customHeight="false" outlineLevel="0" collapsed="false">
      <c r="A7" s="16" t="s">
        <v>45</v>
      </c>
      <c r="B7" s="19" t="n">
        <v>15</v>
      </c>
      <c r="C7" s="18" t="s">
        <v>46</v>
      </c>
    </row>
    <row r="8" customFormat="false" ht="15" hidden="false" customHeight="false" outlineLevel="0" collapsed="false">
      <c r="A8" s="16" t="s">
        <v>47</v>
      </c>
      <c r="B8" s="8" t="n">
        <f aca="true">NOW()-B6/24</f>
        <v>46306.2612757386</v>
      </c>
      <c r="C8" s="18" t="s">
        <v>48</v>
      </c>
    </row>
    <row r="9" customFormat="false" ht="15" hidden="false" customHeight="false" outlineLevel="0" collapsed="false">
      <c r="A9" s="16" t="s">
        <v>49</v>
      </c>
      <c r="B9" s="8" t="n">
        <f aca="true">NOW()</f>
        <v>46305.9696091015</v>
      </c>
      <c r="C9" s="18"/>
    </row>
    <row r="11" customFormat="false" ht="15" hidden="false" customHeight="false" outlineLevel="0" collapsed="false">
      <c r="A11" s="20" t="s">
        <v>50</v>
      </c>
    </row>
    <row r="12" customFormat="false" ht="15" hidden="false" customHeight="false" outlineLevel="0" collapsed="false">
      <c r="A12" s="16" t="s">
        <v>51</v>
      </c>
      <c r="B12" s="21" t="n">
        <f aca="false">COUNTA('Mug Marks'!$B$5:$B$204)</f>
        <v>1</v>
      </c>
    </row>
    <row r="13" customFormat="false" ht="15" hidden="false" customHeight="false" outlineLevel="0" collapsed="false">
      <c r="A13" s="16" t="s">
        <v>52</v>
      </c>
      <c r="B13" s="21" t="n">
        <f aca="false">COUNTIF('Mug Marks'!$P$5:$P$204,"READY")</f>
        <v>0</v>
      </c>
    </row>
    <row r="14" customFormat="false" ht="15" hidden="false" customHeight="false" outlineLevel="0" collapsed="false">
      <c r="A14" s="16" t="s">
        <v>53</v>
      </c>
      <c r="B14" s="21" t="n">
        <f aca="false">COUNTIF('Mug Marks'!$P$5:$P$204,"Cooldown")</f>
        <v>1</v>
      </c>
    </row>
    <row r="15" customFormat="false" ht="15" hidden="false" customHeight="false" outlineLevel="0" collapsed="false">
      <c r="A15" s="16" t="s">
        <v>54</v>
      </c>
      <c r="B15" s="21" t="n">
        <f aca="false">COUNTIF('Mug Marks'!$P$5:$P$204,"Never hit")</f>
        <v>0</v>
      </c>
    </row>
    <row r="16" customFormat="false" ht="15" hidden="false" customHeight="false" outlineLevel="0" collapsed="false">
      <c r="A16" s="16" t="s">
        <v>55</v>
      </c>
      <c r="B16" s="21" t="n">
        <f aca="false">COUNT('Mug Log'!$B$5:$B$1004)</f>
        <v>1</v>
      </c>
    </row>
    <row r="17" customFormat="false" ht="15" hidden="false" customHeight="false" outlineLevel="0" collapsed="false">
      <c r="A17" s="16" t="s">
        <v>56</v>
      </c>
      <c r="B17" s="9" t="n">
        <f aca="false">SUM('Mug Log'!$D$5:$D$1004)</f>
        <v>2400000</v>
      </c>
    </row>
    <row r="18" customFormat="false" ht="15" hidden="false" customHeight="false" outlineLevel="0" collapsed="false">
      <c r="A18" s="16" t="s">
        <v>57</v>
      </c>
      <c r="B18" s="9" t="n">
        <f aca="false">IF(B16=0,0,B17/B16)</f>
        <v>2400000</v>
      </c>
    </row>
    <row r="19" customFormat="false" ht="15" hidden="false" customHeight="false" outlineLevel="0" collapsed="false">
      <c r="A19" s="16" t="s">
        <v>58</v>
      </c>
      <c r="B19" s="9" t="n">
        <f aca="false">SUMIFS('Mug Log'!$D$5:$D$1004,'Mug Log'!$A$5:$A$1004,"&gt;="&amp;(B8-1))</f>
        <v>2400000</v>
      </c>
    </row>
    <row r="21" customFormat="false" ht="15" hidden="false" customHeight="false" outlineLevel="0" collapsed="false">
      <c r="A21" s="20" t="s">
        <v>59</v>
      </c>
    </row>
    <row r="22" customFormat="false" ht="15" hidden="false" customHeight="false" outlineLevel="0" collapsed="false">
      <c r="A22" s="16" t="s">
        <v>60</v>
      </c>
    </row>
    <row r="23" customFormat="false" ht="15" hidden="false" customHeight="false" outlineLevel="0" collapsed="false">
      <c r="A23" s="16" t="s">
        <v>61</v>
      </c>
    </row>
    <row r="24" customFormat="false" ht="15" hidden="false" customHeight="false" outlineLevel="0" collapsed="false">
      <c r="A24" s="16" t="s">
        <v>62</v>
      </c>
    </row>
    <row r="25" customFormat="false" ht="15" hidden="false" customHeight="false" outlineLevel="0" collapsed="false">
      <c r="A25" s="16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5"/>
    <col collapsed="false" customWidth="true" hidden="false" outlineLevel="0" max="4" min="3" style="0" width="50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64</v>
      </c>
    </row>
    <row r="3" customFormat="false" ht="15" hidden="false" customHeight="false" outlineLevel="0" collapsed="false">
      <c r="A3" s="22" t="s">
        <v>9</v>
      </c>
      <c r="B3" s="22" t="s">
        <v>65</v>
      </c>
      <c r="C3" s="22" t="s">
        <v>66</v>
      </c>
      <c r="D3" s="22" t="s">
        <v>67</v>
      </c>
      <c r="E3" s="22" t="s">
        <v>68</v>
      </c>
    </row>
    <row r="4" customFormat="false" ht="23.85" hidden="false" customHeight="false" outlineLevel="0" collapsed="false">
      <c r="A4" s="23" t="s">
        <v>69</v>
      </c>
      <c r="B4" s="23" t="s">
        <v>70</v>
      </c>
      <c r="C4" s="23" t="s">
        <v>71</v>
      </c>
      <c r="D4" s="23" t="s">
        <v>72</v>
      </c>
      <c r="E4" s="23" t="s">
        <v>73</v>
      </c>
    </row>
    <row r="5" customFormat="false" ht="23.85" hidden="false" customHeight="false" outlineLevel="0" collapsed="false">
      <c r="A5" s="23" t="s">
        <v>74</v>
      </c>
      <c r="B5" s="23" t="s">
        <v>75</v>
      </c>
      <c r="C5" s="23" t="s">
        <v>76</v>
      </c>
      <c r="D5" s="23" t="s">
        <v>77</v>
      </c>
      <c r="E5" s="23" t="s">
        <v>78</v>
      </c>
    </row>
    <row r="6" customFormat="false" ht="23.85" hidden="false" customHeight="false" outlineLevel="0" collapsed="false">
      <c r="A6" s="23" t="s">
        <v>79</v>
      </c>
      <c r="B6" s="23" t="s">
        <v>80</v>
      </c>
      <c r="C6" s="23" t="s">
        <v>81</v>
      </c>
      <c r="D6" s="23" t="s">
        <v>82</v>
      </c>
      <c r="E6" s="23" t="s">
        <v>83</v>
      </c>
    </row>
    <row r="7" customFormat="false" ht="23.85" hidden="false" customHeight="false" outlineLevel="0" collapsed="false">
      <c r="A7" s="23" t="s">
        <v>84</v>
      </c>
      <c r="B7" s="23" t="s">
        <v>85</v>
      </c>
      <c r="C7" s="23" t="s">
        <v>86</v>
      </c>
      <c r="D7" s="23" t="s">
        <v>87</v>
      </c>
      <c r="E7" s="23" t="s">
        <v>88</v>
      </c>
    </row>
    <row r="9" customFormat="false" ht="15" hidden="false" customHeight="false" outlineLevel="0" collapsed="false">
      <c r="A9" s="20" t="s">
        <v>89</v>
      </c>
    </row>
    <row r="10" customFormat="false" ht="15" hidden="false" customHeight="false" outlineLevel="0" collapsed="false">
      <c r="A10" s="16" t="s">
        <v>90</v>
      </c>
    </row>
    <row r="11" customFormat="false" ht="15" hidden="false" customHeight="false" outlineLevel="0" collapsed="false">
      <c r="A11" s="16" t="s">
        <v>91</v>
      </c>
    </row>
    <row r="12" customFormat="false" ht="15" hidden="false" customHeight="false" outlineLevel="0" collapsed="false">
      <c r="A12" s="16" t="s">
        <v>92</v>
      </c>
    </row>
    <row r="13" customFormat="false" ht="15" hidden="false" customHeight="false" outlineLevel="0" collapsed="false">
      <c r="A13" s="16" t="s">
        <v>93</v>
      </c>
    </row>
    <row r="14" customFormat="false" ht="15" hidden="false" customHeight="false" outlineLevel="0" collapsed="false">
      <c r="A14" s="16" t="s">
        <v>94</v>
      </c>
    </row>
    <row r="15" customFormat="false" ht="15" hidden="false" customHeight="false" outlineLevel="0" collapsed="false">
      <c r="A15" s="1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2026-10-10T23:16:11Z</dcterms:created>
  <dc:creator>openpyxl</dc:creator>
  <dc:description/>
  <dc:language>en-US</dc:language>
  <cp:lastModifiedBy/>
  <dcterms:modified xsi:type="dcterms:W3CDTF">2026-10-10T23:16:11Z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